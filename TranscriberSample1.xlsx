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3" sheetId="1" r:id="rId5"/>
    <sheet state="visible" name="202508USB_removed" sheetId="2" r:id="rId6"/>
    <sheet state="visible" name="Copy of sample1_removed (1)" sheetId="3" r:id="rId7"/>
    <sheet state="visible" name="DemoPDF" sheetId="4" r:id="rId8"/>
    <sheet state="visible" name="tads" sheetId="5" r:id="rId9"/>
    <sheet state="visible" name="test2" sheetId="6" r:id="rId10"/>
    <sheet state="visible" name="last" sheetId="7" r:id="rId11"/>
    <sheet state="visible" name="testy4" sheetId="8" r:id="rId12"/>
    <sheet state="visible" name="test5" sheetId="9" r:id="rId13"/>
    <sheet state="visible" name="lasttest2" sheetId="10" r:id="rId14"/>
    <sheet state="visible" name="202603asiav1_removed" sheetId="11" r:id="rId15"/>
  </sheets>
  <definedNames/>
  <calcPr/>
</workbook>
</file>

<file path=xl/sharedStrings.xml><?xml version="1.0" encoding="utf-8"?>
<sst xmlns="http://schemas.openxmlformats.org/spreadsheetml/2006/main" count="8993" uniqueCount="1219">
  <si>
    <t>module</t>
  </si>
  <si>
    <t>number</t>
  </si>
  <si>
    <t>section</t>
  </si>
  <si>
    <t>passage</t>
  </si>
  <si>
    <t>content</t>
  </si>
  <si>
    <t>choice_A</t>
  </si>
  <si>
    <t>choice_B</t>
  </si>
  <si>
    <t>choice_C</t>
  </si>
  <si>
    <t>choice_D</t>
  </si>
  <si>
    <t>correct_answer</t>
  </si>
  <si>
    <t>passage_type</t>
  </si>
  <si>
    <t>question_type</t>
  </si>
  <si>
    <t>question_difficulty</t>
  </si>
  <si>
    <t>Reading and Writing</t>
  </si>
  <si>
    <t>Building additional road capacity may seem like an obvious solution to traffic congestion, but numerous studies have cast doubt on the _____ of that approach. Not only does additional road capacity often fail to relieve congestion, but it can also make traffic worse by encouraging more people to drive.</t>
  </si>
  <si>
    <t>Which choice completes the text with the most logical and precise word or phrase?</t>
  </si>
  <si>
    <t>efficacy</t>
  </si>
  <si>
    <t>aesthetics</t>
  </si>
  <si>
    <t>originality</t>
  </si>
  <si>
    <t>popularity</t>
  </si>
  <si>
    <t>A</t>
  </si>
  <si>
    <t>Social Science</t>
  </si>
  <si>
    <t>Words in Context</t>
  </si>
  <si>
    <t>Easy</t>
  </si>
  <si>
    <t>In 1965, Gordon Moore, co-founder of Intel, made a prediction that has become famously known as Moore's Law. He observed that the number of transistors on a microchip doubles approximately every two years, while the cost of computers is halved. This observation has been a driving force in the field of computer science, guiding technological advancements for several decades.
However, in recent years, experts have begun to question the sustainability of Moore's Law as manufacturers face physical and technical limits in miniaturization. As transistors approach atomic sizes, issues such as heat dissipation and quantum tunneling become significant obstacles.
Despite these challenges, the legacy of Moore's Law endures in its encouragement of innovation, pushing engineers and scientists to explore new materials and technologies to continue the pace of advancement in computing power.</t>
  </si>
  <si>
    <t xml:space="preserve">According to the passage, what primary challenge threatens the continued validity of Moore's Law?
A) The financial cost of manufacturing microchips
B) The physical and technical limits in miniaturization
C) The inability of computers to process more data
D) The lack of innovative ideas in the field
</t>
  </si>
  <si>
    <t>B</t>
  </si>
  <si>
    <t>Though many _____ studies of the effect of altitude on blood chemistry focus on people who live above sea level, researchers Suleiman A. Al-Sweedan and Moath Alhaj recently chose the novel path of focusing on people who live below sea level, in locations such as the California towns of Bombay Beach and Imperial.</t>
  </si>
  <si>
    <t>eccentric</t>
  </si>
  <si>
    <t>traditional</t>
  </si>
  <si>
    <t>meager</t>
  </si>
  <si>
    <r>
      <rPr>
        <rFont val="Arial"/>
        <i/>
        <color rgb="FF000000"/>
        <sz val="10.0"/>
      </rPr>
      <t>Farmhouse Interior</t>
    </r>
    <r>
      <rPr>
        <rFont val="Arial"/>
        <i val="0"/>
        <color rgb="FF000000"/>
        <sz val="10.0"/>
      </rPr>
      <t>, painted in the realist style by Jan Hendrik Weissenbruch, depicts a peasant woman knitting at a table while a cat sits underneath. The realists' emphasis on accurately portraying the experiences of average working people was largely a rejection of the romantic style evident in many paintings by Pierre-Auguste Cot, which instead _______ their subjects' positive qualities to make them appear more beautiful or heroic than they actually were.</t>
    </r>
  </si>
  <si>
    <t>random</t>
  </si>
  <si>
    <t>Natural Science</t>
  </si>
  <si>
    <t>Throughout history, the invention of the printing press has been recognized as a turning point in communication and education. Prior to its invention, texts were laboriously copied by hand, a process that was both time-consuming and prone to errors. The printing press, developed by Johannes Gutenberg in the 15th century, revolutionized the way information was disseminated, making books more accessible and affordable, and paving the way for widespread literacy.
Gutenberg's printing press utilized movable type, a system that allowed for the quick rearrangement of individual letters and characters. This innovation enabled the mass production of written materials, leading to a dramatic reduction in the cost of books. As a result, reading material became available to a broader segment of the population, facilitating the spread of new ideas and knowledge. The increased circulation of literature and scientific works contributed significantly to the intellectual movement known as the Renaissance, during which there was a renewed interest in the arts, sciences, and the classical knowledge of Greece and Rome.</t>
  </si>
  <si>
    <t>rectify</t>
  </si>
  <si>
    <t xml:space="preserve">What was one significant effect of the invention of the printing press?
A) It eliminated the need for handwritten texts entirely.
B) It increased the cost of book production, making books scarce.
C) It restricted access to scientific knowledge to only the wealthy elite.
D) It contributed to the spread of literacy and new ideas across Europe.
</t>
  </si>
  <si>
    <t>D</t>
  </si>
  <si>
    <t>counteract</t>
  </si>
  <si>
    <t>magnify</t>
  </si>
  <si>
    <t>apprehend</t>
  </si>
  <si>
    <t>C</t>
  </si>
  <si>
    <t>Humanities</t>
  </si>
  <si>
    <t>Medium</t>
  </si>
  <si>
    <t>Cacao was domesticated in South America. Its physical structure is no longer identical to the structure of the wild plant it is descended from. Maize (corn) also _______ its wild ancestor. That ancestor plant had a few small kernels. Indigenous people in Mexico carefully bred the crop until it had numerous fleshy kernels.</t>
  </si>
  <si>
    <t>varies from</t>
  </si>
  <si>
    <r>
      <rPr>
        <rFont val="Arial"/>
        <i val="0"/>
        <color rgb="FF000000"/>
        <sz val="10.0"/>
      </rPr>
      <t xml:space="preserve">Whatever the general attitude toward Spike Lee's 1992 film </t>
    </r>
    <r>
      <rPr>
        <rFont val="Arial"/>
        <i/>
        <color rgb="FF000000"/>
        <sz val="10.0"/>
      </rPr>
      <t>Malcolm X</t>
    </r>
    <r>
      <rPr>
        <rFont val="Arial"/>
        <i val="0"/>
        <color rgb="FF000000"/>
        <sz val="10.0"/>
      </rPr>
      <t xml:space="preserve"> and Carl Franklin's 1995 film </t>
    </r>
    <r>
      <rPr>
        <rFont val="Arial"/>
        <i/>
        <color rgb="FF000000"/>
        <sz val="10.0"/>
      </rPr>
      <t>Devil in a Blue Dress</t>
    </r>
    <r>
      <rPr>
        <rFont val="Arial"/>
        <i val="0"/>
        <color rgb="FF000000"/>
        <sz val="10.0"/>
      </rPr>
      <t xml:space="preserve"> when they were initially released, both films now tend to be regarded quite _____. In 2018, for example, critics for the </t>
    </r>
    <r>
      <rPr>
        <rFont val="Arial"/>
        <i/>
        <color rgb="FF000000"/>
        <sz val="10.0"/>
      </rPr>
      <t>New York Times</t>
    </r>
    <r>
      <rPr>
        <rFont val="Arial"/>
        <i val="0"/>
        <color rgb="FF000000"/>
        <sz val="10.0"/>
      </rPr>
      <t xml:space="preserve"> praised the former as "electrifying" and the latter as "picture-perfect."</t>
    </r>
  </si>
  <si>
    <t>helps with</t>
  </si>
  <si>
    <t>reacts to</t>
  </si>
  <si>
    <t>argues with</t>
  </si>
  <si>
    <t>strangely</t>
  </si>
  <si>
    <t>neutrally</t>
  </si>
  <si>
    <t>skeptically</t>
  </si>
  <si>
    <t>favorably</t>
  </si>
  <si>
    <r>
      <rPr>
        <rFont val="Arial"/>
        <i val="0"/>
        <color rgb="FF000000"/>
        <sz val="10.0"/>
      </rPr>
      <t xml:space="preserve">Whatever the general attitude toward Spike Lee’s 1992 film </t>
    </r>
    <r>
      <rPr>
        <rFont val="Arial"/>
        <i/>
        <color rgb="FF000000"/>
        <sz val="10.0"/>
      </rPr>
      <t>Malcolm X</t>
    </r>
    <r>
      <rPr>
        <rFont val="Arial"/>
        <i val="0"/>
        <color rgb="FF000000"/>
        <sz val="10.0"/>
      </rPr>
      <t xml:space="preserve"> and Carl Franklin’s 1995 film </t>
    </r>
    <r>
      <rPr>
        <rFont val="Arial"/>
        <i/>
        <color rgb="FF000000"/>
        <sz val="10.0"/>
      </rPr>
      <t>Devil in a Blue Dress</t>
    </r>
    <r>
      <rPr>
        <rFont val="Arial"/>
        <i val="0"/>
        <color rgb="FF000000"/>
        <sz val="10.0"/>
      </rPr>
      <t xml:space="preserve"> when they were initially released, both films now tend to be regarded quite _____. In 2018, for example, critics for the </t>
    </r>
    <r>
      <rPr>
        <rFont val="Arial"/>
        <i/>
        <color rgb="FF000000"/>
        <sz val="10.0"/>
      </rPr>
      <t>New York Times</t>
    </r>
    <r>
      <rPr>
        <rFont val="Arial"/>
        <i val="0"/>
        <color rgb="FF000000"/>
        <sz val="10.0"/>
      </rPr>
      <t xml:space="preserve"> praised the former as "electrifying" and the latter as "picture-perfect."</t>
    </r>
  </si>
  <si>
    <t>In the late 19th century, the Industrial Revolution dramatically transformed the landscape of manufacturing with the introduction of machinery that significantly increased production efficiency. These technological advancements changed not only how goods were produced but also had profound effects on workers’ lives, disrupting traditional labor roles and prompting migrations from rural to urban areas.
One key innovation was the steam engine, which powered factories and allowed for a shift from manual labor to machines. It marked the beginning of a new era in production, facilitating mass production and the rise of industries such as textiles and steel. The implementation of these technologies often resulted in economic growth, but also instigated social and environmental challenges, including urban overcrowding and pollution.</t>
  </si>
  <si>
    <t xml:space="preserve">Which factor most directly contributed to the shift from manual labor to machine-based production during the Industrial Revolution?
A) Urban overcrowding
B) The invention of the steam engine
C) Traditional labor roles
D) Economic growth
</t>
  </si>
  <si>
    <r>
      <rPr>
        <rFont val="Arial"/>
        <i val="0"/>
        <color rgb="FF000000"/>
        <sz val="10.0"/>
      </rPr>
      <t xml:space="preserve">The collectibles market is one of the most difficult segments of the consumer economy to ________. Few economists would have predicted, for example, that the prices of vintage </t>
    </r>
    <r>
      <rPr>
        <rFont val="Arial"/>
        <i/>
        <color rgb="FF000000"/>
        <sz val="10.0"/>
      </rPr>
      <t>Teenage Mutant Ninja Turtles</t>
    </r>
    <r>
      <rPr>
        <rFont val="Arial"/>
        <i val="0"/>
        <color rgb="FF000000"/>
        <sz val="10.0"/>
      </rPr>
      <t xml:space="preserve"> action figures would soar in the 2010s, but soar they did.</t>
    </r>
  </si>
  <si>
    <t>monitor</t>
  </si>
  <si>
    <t>avoid</t>
  </si>
  <si>
    <t>forecast</t>
  </si>
  <si>
    <t>At the turn of the twentieth century, Black residents of Richmond, Virginia, had few formal options for banking and other financial services. To ______ this situation, Maggie Lena Walker chartered the St. Luke Penny Savings Bank in 1903. The bank went on to provide home loans and savings opportunities to thousands of Black families over the following decades.</t>
  </si>
  <si>
    <t>exchange</t>
  </si>
  <si>
    <t>retain</t>
  </si>
  <si>
    <t>highlight</t>
  </si>
  <si>
    <t>Chengdu, China, was named a City of Gastronomy by UNESCO in 2010, a title that _________ that Chengdu has a unique and vibrant food culture worthy of celebration.</t>
  </si>
  <si>
    <t>At the turn of the twentieth century, Black residents of Richmond, Virginia, had few formal options for banking and other financial services. To _____ this situation, Maggie Lena Walker chartered the St. Luke Penny Savings Bank in 1903. The bank went on to provide home loans and savings opportunities to thousands of Black families over the following decades.</t>
  </si>
  <si>
    <t>prolong</t>
  </si>
  <si>
    <t>renounces</t>
  </si>
  <si>
    <t>discovers</t>
  </si>
  <si>
    <t>complains</t>
  </si>
  <si>
    <t>denotes</t>
  </si>
  <si>
    <r>
      <rPr>
        <rFont val="Arial"/>
        <i/>
        <color rgb="FF000000"/>
        <sz val="10.0"/>
      </rPr>
      <t>The Gleaners</t>
    </r>
    <r>
      <rPr>
        <rFont val="Arial"/>
        <i val="0"/>
        <color rgb="FF000000"/>
        <sz val="10.0"/>
      </rPr>
      <t>, painted in the realist style by Jean-François Millet, depicts peasants picking stray wheat from a field after the harvest. The realists' emphasis on accurately portraying the experiences of average working people was largely a rejection of the romantic style evident in many paintings by Horace Vernet, which instead _____ their subjects' beauty or heroism while hiding all imperfection.</t>
    </r>
  </si>
  <si>
    <r>
      <rPr>
        <rFont val="Arial"/>
        <b val="0"/>
        <i val="0"/>
        <color rgb="FF000000"/>
        <sz val="10.0"/>
      </rPr>
      <t xml:space="preserve">In the late 19th and early 20th centuries, the field of psychology underwent significant changes as it evolved from a philosophical discipline to a more scientific one. One major figure in this transformation was </t>
    </r>
    <r>
      <rPr>
        <rFont val="Arial"/>
        <b/>
        <i val="0"/>
        <color rgb="FF000000"/>
        <sz val="10.0"/>
      </rPr>
      <t>Wilhelm Wundt</t>
    </r>
    <r>
      <rPr>
        <rFont val="Arial"/>
        <b val="0"/>
        <i val="0"/>
        <color rgb="FF000000"/>
        <sz val="10.0"/>
      </rPr>
      <t xml:space="preserve">, often referred to as the 'father of experimental psychology.'
Wundt established the first formal laboratory for psychological research at the University of Leipzig in Germany. His approach emphasized the use of experimental methods to study the structure of the human mind, a school of thought known as </t>
    </r>
    <r>
      <rPr>
        <rFont val="Arial"/>
        <b val="0"/>
        <i/>
        <color rgb="FF000000"/>
        <sz val="10.0"/>
      </rPr>
      <t>structuralism</t>
    </r>
    <r>
      <rPr>
        <rFont val="Arial"/>
        <b val="0"/>
        <i val="0"/>
        <color rgb="FF000000"/>
        <sz val="10.0"/>
      </rPr>
      <t xml:space="preserve">. Wundt believed that mental processes could be broken down into basic elements, much like a chemical compound.
Despite its early prominence, structuralism eventually faced criticism for its reliance on introspection, a method wherein subjects reported their conscious experiences in response to various stimuli. Critics argued that introspection was too subjective and lacked the objectivity necessary for scientific inquiry. This criticism paved the way for other movements in psychology, such as </t>
    </r>
    <r>
      <rPr>
        <rFont val="Arial"/>
        <b val="0"/>
        <i/>
        <color rgb="FF000000"/>
        <sz val="10.0"/>
      </rPr>
      <t>functionalism</t>
    </r>
    <r>
      <rPr>
        <rFont val="Arial"/>
        <b val="0"/>
        <i val="0"/>
        <color rgb="FF000000"/>
        <sz val="10.0"/>
      </rPr>
      <t xml:space="preserve"> and </t>
    </r>
    <r>
      <rPr>
        <rFont val="Arial"/>
        <b val="0"/>
        <i/>
        <color rgb="FF000000"/>
        <sz val="10.0"/>
      </rPr>
      <t>behaviorism</t>
    </r>
    <r>
      <rPr>
        <rFont val="Arial"/>
        <b val="0"/>
        <i val="0"/>
        <color rgb="FF000000"/>
        <sz val="10.0"/>
      </rPr>
      <t>, which focused more on the function of mental processes and observable behavior, respectively.</t>
    </r>
  </si>
  <si>
    <r>
      <rPr>
        <rFont val="Arial"/>
        <i val="0"/>
        <color rgb="FF000000"/>
        <sz val="10.0"/>
      </rPr>
      <t xml:space="preserve">The following text is from Louise Erdrich's 1986 novel </t>
    </r>
    <r>
      <rPr>
        <rFont val="Arial"/>
        <i/>
        <color rgb="FF000000"/>
        <sz val="10.0"/>
      </rPr>
      <t>The Beet Queen</t>
    </r>
    <r>
      <rPr>
        <rFont val="Arial"/>
        <i val="0"/>
        <color rgb="FF000000"/>
        <sz val="10.0"/>
      </rPr>
      <t>. Celestine takes her infant daughter with her to the butcher shop where she makes sausages.
Sometimes Celestine turned around and met the direct gaze of her daughter, a look so penetrating that Celestine's breath caught. She dropped the spice, the string, the knife she was using, and took the girl up in her arms, ready for her to speak as if a spell had suddenly lifted.
When the baby flexed her entire body and struggled to free herself, Celestine put her down. No matter how thorough Celestine's exhaustion, no matter how little sleep she'd had, there was a nerve of excitement running through each hour.</t>
    </r>
  </si>
  <si>
    <t>Which choice best states the main purpose of the text?</t>
  </si>
  <si>
    <t>To show that Celestine enjoys imagining her daughter's future life</t>
  </si>
  <si>
    <t>To explain how Celestine's coworkers bond with her daughter</t>
  </si>
  <si>
    <t>To portray Celestine's excitement about her daughter</t>
  </si>
  <si>
    <t>To imply that Celestine is dissatisfied with her job</t>
  </si>
  <si>
    <t xml:space="preserve">What is one reason provided in the passage that led to the decline of structuralism?
A) It was found to be in direct conflict with the principles of behaviorism.
B) Introspection was deemed too subjective for scientific study.
C) The rise of functionalism made structuralism obsolete.
D) Wundt's laboratory at the University of Leipzig closed down.
</t>
  </si>
  <si>
    <t>Literature</t>
  </si>
  <si>
    <t>Text Structure and Purpose</t>
  </si>
  <si>
    <t>obscure</t>
  </si>
  <si>
    <t>In 1940, John H. Sengstacke founded the National Newspaper Publishers Association to support Black-owned papers. Sengstacke's accomplishment is just one example of the rich history of Black journalism in the United States. That history is preserved by the National Association of Black Journalists, which was founded in Washington, DC, in 1975 to support Black media professionals and honor people like Sengstacke.</t>
  </si>
  <si>
    <t>accentuate</t>
  </si>
  <si>
    <t>Which choice best describes the overall structure of the text?</t>
  </si>
  <si>
    <t>It introduces the history of an organization honoring Black journalists, then suggests how that organization might recruit more members.</t>
  </si>
  <si>
    <r>
      <rPr>
        <rFont val="Arial"/>
        <i/>
        <color rgb="FF000000"/>
        <sz val="10.0"/>
      </rPr>
      <t>The Gleaners</t>
    </r>
    <r>
      <rPr>
        <rFont val="Arial"/>
        <i val="0"/>
        <color rgb="FF000000"/>
        <sz val="10.0"/>
      </rPr>
      <t>, painted in the realist style by Jean-François Millet, depicts peasants picking stray wheat from a field after the harvest. The realists’ emphasis on accurately portraying the experiences of average working people was largely a rejection of the romantic style evident in many paintings by Horace Vernet, which instead _____ their subjects’ beauty or heroism while hiding all imperfection.</t>
    </r>
  </si>
  <si>
    <t>It summarizes a theory about journalism, then explains how a journalistic practice has changed over time.</t>
  </si>
  <si>
    <t>It identifies a significant moment in the history of Black journalism, then describes an organization dedicated to upholding that history.</t>
  </si>
  <si>
    <t>It describes the career of a prominent Black journalist, then names another journalist whose work is lesser known.</t>
  </si>
  <si>
    <t>Hard</t>
  </si>
  <si>
    <t>In 1958, NASA was established with the primary goal of advancing human space exploration. One of its pivotal moments came in 1969 when the Apollo 11 mission successfully landed the first humans on the Moon, marking a significant milestone in space exploration. Since then, NASA has launched numerous missions to study planets, stars, and galaxies.
The organization plays a crucial role in advancing our understanding of Earth's place in the universe and has led many international collaborations. With ongoing projects on the International Space Station and Mars exploration, NASA continues to push the boundaries of human knowledge and technological innovation.</t>
  </si>
  <si>
    <t>A book's "public life" is defined not only by its content but also by its critical reception. The Russian translation of John Steinbeck's Moby-Dick, for example, received harsh criticism upon its publication in 1968. However, translator Igor Yefimov argued that this criticism failed to account for the unique difficulties of translating Melville's nineteenth-century maritime English into modern Russian. The original English text is full of idiomatic expressions and specific nautical terminology that have no direct equivalents in Russian, meaning Yefimov often had to choose between literal translation and conveying the spirit of the text. His decision to prioritize the latter resulted in a translation that, while sometimes departing from the exact wording of the original, captured its epic tone.</t>
  </si>
  <si>
    <t xml:space="preserve">Which of the following statements best summarizes the role of NASA as described in the passage?
A) NASA's primary focus is to explore Mars and the outer planets.
B) NASA only collaborates with international partners on manned missions.
C) NASA is dedicated to advancing space exploration and understanding Earth's place in the universe.
D) NASA's contributions are limited to launching satellites for space weather studies.
</t>
  </si>
  <si>
    <r>
      <rPr>
        <rFont val="Arial"/>
        <i val="0"/>
        <color rgb="FF000000"/>
        <sz val="10.0"/>
      </rPr>
      <t xml:space="preserve">The following text is from Maria Amparo Ruiz de Burton’s 1885 novel </t>
    </r>
    <r>
      <rPr>
        <rFont val="Arial"/>
        <i/>
        <color rgb="FF000000"/>
        <sz val="10.0"/>
      </rPr>
      <t>The Squatter and the Don</t>
    </r>
    <r>
      <rPr>
        <rFont val="Arial"/>
        <i val="0"/>
        <color rgb="FF000000"/>
        <sz val="10.0"/>
      </rPr>
      <t>. In the novel, Clarence and Mercedes develop a romantic relationship.
Mercedes, being not quite seventeen, her grief at parting from Clarence was wild, vehement and all-absorbing. But she had been trained to obedience, and her battles with the spirit always took place after she carefully locked her bedroom door. Then Clarence was wildly apostrophized, and a torrent of tears relieved the overcharged, aching heart.</t>
    </r>
  </si>
  <si>
    <t>It notes a novel's critical reception, addresses the complicated history of the novel's development, and suggests how that history informed the work of the novel's English translators.</t>
  </si>
  <si>
    <t>It describes a novel whose critical reputation has declined over time, explains the cause of that decline, and reports the effort of translators to rehabilitate a work they believe has been unjustly ignored.</t>
  </si>
  <si>
    <t>It mentions a novel whose quality critics do not agree on, discusses obstacles that make it difficult to determine what the best version of that novel might be, and offers a reason why some critics find a translation of the novel to be superior to the original.</t>
  </si>
  <si>
    <t>It emphasizes Mercedes’s extreme insecurity.</t>
  </si>
  <si>
    <t>It refers to a novel that has several different published and unpublished versions, identifies characteristics that have led critics to prefer one version to others, and tells how translators justified their choice to bring one particular version of the novel into another language.</t>
  </si>
  <si>
    <t>It suggests that the magnitude of Mercedes’s feelings are unusual for her age.</t>
  </si>
  <si>
    <t>It provides background explaining why Clarence has left Mercedes.</t>
  </si>
  <si>
    <r>
      <rPr>
        <rFont val="Arial"/>
        <i val="0"/>
        <color rgb="FF000000"/>
        <sz val="10.0"/>
      </rPr>
      <t xml:space="preserve">The following text is from Maria Amparo Ruiz de Burton's 1885 novel </t>
    </r>
    <r>
      <rPr>
        <rFont val="Arial"/>
        <i/>
        <color rgb="FF000000"/>
        <sz val="10.0"/>
      </rPr>
      <t>The Squatter and the Don</t>
    </r>
    <r>
      <rPr>
        <rFont val="Arial"/>
        <i val="0"/>
        <color rgb="FF000000"/>
        <sz val="10.0"/>
      </rPr>
      <t>. In the novel, Clarence and Mercedes develop a romantic relationship.
Mercedes, being not quite seventeen, her grief at parting from Clarence was wild, vehement and all-absorbing. But she had been trained to obedience, and her battles with the spirit always took place after she carefully locked her bedroom door. Then Clarence was wildly apostrophized, and a torrent of tears relieved the overcharged, aching heart.</t>
    </r>
  </si>
  <si>
    <t>It conveys how Mercedes handles her intense feelings about being separated from Clarence.</t>
  </si>
  <si>
    <t>Vehicle transmissions and many other widely used mechanical systems have moving parts that rub or slide against one another, creating friction. This friction increases energy consumption and causes wear, which decreases the stability and life span of the system. Using carbon nanotubes and oil, Jun Qu and colleagues at a US Department of Energy lab have created a coating for moving parts that reduces friction to the point where it is almost nonexistent. The new coating is suitable for common applications, unlike other approaches that require special conditions.</t>
  </si>
  <si>
    <t>What does the text most strongly suggest about the coating created by Qu and colleagues?</t>
  </si>
  <si>
    <t>It is unlikely to reduce wear in mechanical systems that have multiple moving parts.</t>
  </si>
  <si>
    <t>It is unlikely to be widely used because it can be applied only under special conditions.</t>
  </si>
  <si>
    <t>It can likely be used to reduce energy consumption and wear in vehicle transmissions and other common mechanical systems.</t>
  </si>
  <si>
    <t>It can likely improve the energy consumption of certain mechanical systems but not of vehicle transmissions.</t>
  </si>
  <si>
    <t>Central Ideas and Details</t>
  </si>
  <si>
    <r>
      <rPr>
        <rFont val="Arial"/>
        <i val="0"/>
        <color rgb="FF000000"/>
        <sz val="10.0"/>
      </rPr>
      <t xml:space="preserve">In the late 19th century, a new form of artistic expression known as Post-Impressionism emerged in Europe. This movement sought to build upon the foundations laid by Impressionism, particularly in the way that color and light were used. However, Post-Impressionists, such as Vincent van Gogh and Paul Cézanne, were more interested in exploring the emotional response and personal vision of the artist, rather than simply capturing the visual impression of a scene.
Van Gogh's </t>
    </r>
    <r>
      <rPr>
        <rFont val="Arial"/>
        <i/>
        <color rgb="FF000000"/>
        <sz val="10.0"/>
      </rPr>
      <t>Starry Night</t>
    </r>
    <r>
      <rPr>
        <rFont val="Arial"/>
        <i val="0"/>
        <color rgb="FF000000"/>
        <sz val="10.0"/>
      </rPr>
      <t xml:space="preserve"> exemplifies this approach. The swirling patterns of the sky and the vivid colors are not merely depictions of a night sky but are infused with Van Gogh's emotional state, giving the painting its expressive force. Meanwhile, Cézanne's work often focused on the underlying structure of his subjects, paving the way for future developments in modern art, especially Cubism.</t>
    </r>
  </si>
  <si>
    <t xml:space="preserve">Based on the passage, which characteristic differentiates Post-Impressionism from Impressionism?
A) An emphasis on capturing fleeting moments using light effects.
B) A focus on the emotional and personal vision of the artist.
C) The use of traditional techniques to record historical events.
D) Strict adherence to realistic depictions of scenes.
</t>
  </si>
  <si>
    <r>
      <rPr>
        <rFont val="Arial"/>
        <color rgb="FF000000"/>
        <sz val="10.0"/>
      </rPr>
      <t xml:space="preserve">In 2023 literary scholar Jeremy Douglass cautioned technology investors and enthusiasts who predict conventional books' ultimate displacement by newer forms of media. Douglass observed that </t>
    </r>
    <r>
      <rPr>
        <rFont val="Arial"/>
        <color rgb="FF000000"/>
        <sz val="10.0"/>
        <u/>
      </rPr>
      <t>the concept of an “interactive” text is much older than technologists assume, extending back to the first time readers scratched notes into a text’s margins</t>
    </r>
    <r>
      <rPr>
        <rFont val="Arial"/>
        <color rgb="FF000000"/>
        <sz val="10.0"/>
      </rPr>
      <t>. In addition, newer media, such as video games, haven’t replaced older forms of entertainment, such as comic books, but rather exist alongside them. Douglass believes that rather than supplanting books, technology is simply making new forms of expression possible.</t>
    </r>
  </si>
  <si>
    <t>In 2023 literary scholar Jeremy Douglass cautioned technology investors and enthusiasts who predict conventional books’ ultimate displacement by newer forms of media. Douglass observed that the concept of an "interactive" text is much older than technologists assume, extending back to the first time readers scratched notes into a text’s margins. In addition, newer media, such as video games, haven’t replaced older forms of entertainment, such as comic books, but rather exist alongside them. Douglass believes that rather than supplanting books, technology is simply making new forms of expression possible.</t>
  </si>
  <si>
    <t>Which choice best describes the function of the underlined portion in the text as a whole?</t>
  </si>
  <si>
    <t>Probabilistic models generate predictions based on outcomes of analogous past events, but even as these models project likely outcomes, they implicitly acknowledge that lower-frequency events may occur instead. Because they accommodate multiple potential outcomes, such models may seem incompatible with causal determinism—the view that particular outcomes are inevitable given certain preconditions. But complete foreknowledge of relevant conditions is generally unavailable, suggesting that a state of uncertainty ultimately prevails in which outcomes can be predicted but not definitively foretold.</t>
  </si>
  <si>
    <t>It explains the basis for the claim made by the technologists mentioned in the text.</t>
  </si>
  <si>
    <t>What does the text most strongly imply about the relationship between probabilistic models and causal determinism?</t>
  </si>
  <si>
    <t>It suggests that academics are better suited than investors to see the potential uses of contemporary interactive texts.</t>
  </si>
  <si>
    <t>The predictive use of probabilistic models can be reconciled with acceptance of causal determinism because causal determinism does not necessarily entail the existence of absolute certainty.</t>
  </si>
  <si>
    <t>It challenges the stance of the investors and enthusiasts who are mentioned earlier in the text.</t>
  </si>
  <si>
    <t>The predictive use of probabilistic models represents a rejection of causal determinism because such models associate a single event with multiple potential outcomes.</t>
  </si>
  <si>
    <t>It provides a historical anecdote about the technological challenges involved in reading the earliest interactive texts.</t>
  </si>
  <si>
    <t>Probabilistic models reflect the influence of causal determinism because their predictions of future outcomes are informed by concrete information about past events.</t>
  </si>
  <si>
    <t>Probabilistic models can be understood as compatible with causal determinism only when their predictions of future events overwhelmingly favor one potential outcome.</t>
  </si>
  <si>
    <t>The Industrial Revolution, which occurred between the 18th and 19th centuries, marked a significant turning point in history. Almost every aspect of daily life was influenced in some way. Iron and textile industries, along with the development of the steam engine, played central roles in this transformation. The shift from hand production methods to machines, new chemical manufacturing and iron production processes, steam power, and the rise of the factory system contributed to the radically new manufacturing processes.</t>
  </si>
  <si>
    <t xml:space="preserve">According to the passage, which of the following was a direct result of the Industrial Revolution?
A) A decline in textile production
B) An increase in hand production methods
C) The rise of the factory system
D) A decrease in steam power usage
</t>
  </si>
  <si>
    <t>Optimal foraging theory (OFT) holds that animals' foraging behaviors reflect cost-benefit trade-offs that vary by species and with dynamic ecological circumstances. One such circumstance is lunar intensity, which Burt Kotler and colleagues found to be negatively associated with foraging by greater Egyptian gerbils but Eduardo Fernández-Duque and colleagues found to be positively associated with foraging by Azara's night monkeys. This discrepancy is explicable in terms of OFT: the monkeys' greater reliance on vision means that higher lunar intensity benefits them more than it benefits the gerbils.</t>
  </si>
  <si>
    <t>Information in the text best supports which statement about OFT?</t>
  </si>
  <si>
    <t>It may be weakened by the finding that the costs and benefits associated with a particular ecological circumstance vary by species.</t>
  </si>
  <si>
    <t>It can explain why some species act in accordance with cost-benefit trade-offs and others do not.</t>
  </si>
  <si>
    <t>It can account for observations of different species responding differently to similar ecological circumstances.</t>
  </si>
  <si>
    <t>It tends to allow for a better understanding of the benefits of ecological circumstances than the costs of those circumstances.</t>
  </si>
  <si>
    <t>Command of Evidence</t>
  </si>
  <si>
    <r>
      <rPr>
        <rFont val="Arial"/>
        <color rgb="FF000000"/>
        <sz val="10.0"/>
      </rPr>
      <t xml:space="preserve">High-speed rail (HSR) systems have trains that move at much higher speeds than traditional trains. HSR is expanding in Norway, Japan, and many other countries around the world. The United States, however, has been slow to build HSR systems. Researchers surveyed United States residents about their attitudes toward HSR. </t>
    </r>
    <r>
      <rPr>
        <rFont val="Arial"/>
        <color rgb="FF000000"/>
        <sz val="10.0"/>
        <u/>
      </rPr>
      <t>The researchers claim that this survey reveals that there is strong support for building more HSR lines in the United States.</t>
    </r>
  </si>
  <si>
    <t>Which quotation from a survey respondent would best illustrate the underlined claim?</t>
  </si>
  <si>
    <t>"I prefer riding buses instead of taking trains because buses travel to more locations."</t>
  </si>
  <si>
    <t>"I have traveled on high-speed rail lines in Norway but not in Japan."</t>
  </si>
  <si>
    <t>"I think high-speed rail is wonderful. The United States needs to build more high-speed rail lines."</t>
  </si>
  <si>
    <t>"I believe that the United States has enough high-speed rail lines. It should invest in airports instead."</t>
  </si>
  <si>
    <t>Elisabeth Pötzelsberger and colleagues gathered data on 23 non-native tree species grown in Europe. They analyzed reports from Austria, Poland, and Hungary about the number of these species grown in those countries as well as the numbers of insect and fungus species that damage those trees. The researchers concluded that Austria had a greater number of damaging fungus species than either of the other countries did.</t>
  </si>
  <si>
    <t>Which choice best describes data from the table that support Pötzelsberger and colleagues' conclusion?</t>
  </si>
  <si>
    <t>Austria reported 51 damaging fungus species, which is more than Poland and Hungary reported.</t>
  </si>
  <si>
    <t>Poland and Hungary reported 10 and 1 damaging fungus species, respectively, which is far fewer than Austria reported.</t>
  </si>
  <si>
    <t>Austria reported 51 damaging fungus species, which is slightly more than its 50 damaging insect species.</t>
  </si>
  <si>
    <t>Hungary reported 18 damaging fungus species, which is slightly more than its 13 damaging insect species.</t>
  </si>
  <si>
    <r>
      <rPr>
        <rFont val="Arial"/>
        <i/>
        <color rgb="FF000000"/>
        <sz val="10.0"/>
      </rPr>
      <t>Life Among the Paiutes</t>
    </r>
    <r>
      <rPr>
        <rFont val="Arial"/>
        <i val="0"/>
        <color rgb="FF000000"/>
        <sz val="10.0"/>
      </rPr>
      <t xml:space="preserve"> is an 1882 autobiographical narrative by Sarah Winnemucca Hopkins. In the work, Winnemucca explicitly indicates when and how she is shifting the focus of the narrative, as when she writes, __________</t>
    </r>
  </si>
  <si>
    <r>
      <rPr>
        <rFont val="Arial"/>
        <i val="0"/>
        <color rgb="FF000000"/>
        <sz val="10.0"/>
      </rPr>
      <t xml:space="preserve">Which quotation from </t>
    </r>
    <r>
      <rPr>
        <rFont val="Arial"/>
        <i/>
        <color rgb="FF000000"/>
        <sz val="10.0"/>
      </rPr>
      <t>Life Among the Paiutes</t>
    </r>
    <r>
      <rPr>
        <rFont val="Arial"/>
        <i val="0"/>
        <color rgb="FF000000"/>
        <sz val="10.0"/>
      </rPr>
      <t xml:space="preserve"> most effectively illustrates the claim?</t>
    </r>
  </si>
  <si>
    <t>"Nothing happened during the day, and after awhile mother told us not to say a word about why we left, for grandpa might get mad with us."</t>
  </si>
  <si>
    <t>"My dear readers, such is the respect my people have for their chiefs."</t>
  </si>
  <si>
    <t>"But how can I describe the scene that followed? Some of you, dear readers, can imagine."</t>
  </si>
  <si>
    <t>"I will now stop writing about myself and family and tribe customs, and tell about the wars, and the causes of the wars. I will jump over about six years."</t>
  </si>
  <si>
    <t>Studies have found that when looking at other people's eyes, humans tend to perceive dilated pupils positively and constricted pupils negatively. Noting that a dark iris—the colored portion surrounding the pupil—is hard to distinguish from the black of the pupil (and thereby affects the pupil's apparent size) and that many</t>
  </si>
  <si>
    <t>%GRAPH% Which choice most effectively uses data from the table to complete the statement?</t>
  </si>
  <si>
    <t>differences in dogs' pupil size may elicit a stronger response in humans than differences in people's pupil size do, as participants' responses to the images when dogs' pupils were actually large were indistinguishable from participants' responses when dogs' pupils only appeared to be large due to iris color.</t>
  </si>
  <si>
    <t>iris color in domestic dogs may be an adaptation to elicit positive responses from humans, as participants responded more negatively to images of dogs whose iris colors can make pupils appear large than they did to images of dogs without such iris colors.</t>
  </si>
  <si>
    <t/>
  </si>
  <si>
    <t>The hwamei and other fruit-eating bird species introduced to the Hawaiian island of Oahu in the last 150 years have recently been found to spread seeds from the fruits of forest plants native to Oahu that are at risk of extinction, such as the kolea lau nui tree. Many of these vulnerable plant species rely on the activity of fruit-eating birds to help spread the plants' seeds in the wild. All fruit-eating bird species native to Oahu have gone extinct, suggesting that __________</t>
  </si>
  <si>
    <t>Which choice most logically completes the text?</t>
  </si>
  <si>
    <t>hwameis and other non-native birds play an important role that used to be filled by birds that were native to Oahu.</t>
  </si>
  <si>
    <t>non-native birds, such as the hwamei, will also be at risk of extinction if they lose access to kolea lau nui trees.</t>
  </si>
  <si>
    <t>populations of hwameis and other non-native birds will probably soon experience rapid growth.</t>
  </si>
  <si>
    <t>non-native birds, such as the hwamei, now spread more seeds from the kolea lau nui tree than birds native to Oahu did in the past.</t>
  </si>
  <si>
    <t>Inferences</t>
  </si>
  <si>
    <t>Maria Ines Cordeiro is the director of the National Library of Portugal in Lisbon. In this role, Cordeiro ________ the library's collections, which feature a large number of works by celebrated Portuguese writers.</t>
  </si>
  <si>
    <t>Which choice completes the text so that it conforms to the conventions of Standard English?</t>
  </si>
  <si>
    <t>having overseen</t>
  </si>
  <si>
    <t>oversees</t>
  </si>
  <si>
    <t>to oversee</t>
  </si>
  <si>
    <t>overseeing</t>
  </si>
  <si>
    <t>Form, Structure, and Sense</t>
  </si>
  <si>
    <r>
      <rPr>
        <rFont val="Arial"/>
        <color rgb="FF000000"/>
        <sz val="10.0"/>
      </rPr>
      <t xml:space="preserve">The epic poem </t>
    </r>
    <r>
      <rPr>
        <rFont val="Arial"/>
        <i/>
        <color rgb="FF000000"/>
        <sz val="10.0"/>
      </rPr>
      <t>The Tale of Genji</t>
    </r>
    <r>
      <rPr>
        <rFont val="Arial"/>
        <color rgb="FF000000"/>
        <sz val="10.0"/>
      </rPr>
      <t xml:space="preserve"> dates back to the 11th century. Originally ________ in classical Japanese, it has since been translated into other languages.</t>
    </r>
  </si>
  <si>
    <t>is written</t>
  </si>
  <si>
    <t>was written</t>
  </si>
  <si>
    <t>written</t>
  </si>
  <si>
    <t>had been written</t>
  </si>
  <si>
    <t>Though it was designated as mission _______ mission was actually the ninety-sixth flight under NASA's Space Shuttle Program.</t>
  </si>
  <si>
    <t>STS-103, and the</t>
  </si>
  <si>
    <t>STS-103. The</t>
  </si>
  <si>
    <t>STS-103 the</t>
  </si>
  <si>
    <t>STS-103, the</t>
  </si>
  <si>
    <t>Boundaries</t>
  </si>
  <si>
    <t>The grammar of the Gujarati language includes several noun cases common to most Indo-Aryan ________ the locative case, for instance, indicates that an action is occurring at, on, or near a particular noun.</t>
  </si>
  <si>
    <t>languages, such as</t>
  </si>
  <si>
    <t>languages,</t>
  </si>
  <si>
    <t>languages;</t>
  </si>
  <si>
    <t>languages; such as</t>
  </si>
  <si>
    <t>The transit method, a means of indirect planetary discovery, has detected previously unknown exoplanets at vast distances from ________ the super Earth TRAPPIST-1 b; at 352 light-years away, the super Earth Kepler-102 f; and, as of 2023, over 4,000 other exoplanets that are too far away and dim to be observed directly.</t>
  </si>
  <si>
    <t>Earth, at 41 light-years away,</t>
  </si>
  <si>
    <t>Earth: at 41 light-years away,</t>
  </si>
  <si>
    <t>Earth at 41 light-years away:</t>
  </si>
  <si>
    <t>Earth at 41 light-years away,</t>
  </si>
  <si>
    <t>Tacettin Diker is well known for his work as a puppeteer. ________ he specializes in shadow puppetry. This style of puppetry involves holding a figure in front of a light source to project a shadow onto a translucent screen.</t>
  </si>
  <si>
    <t>Which choice completes the text with the most logical transition?</t>
  </si>
  <si>
    <t>In particular,</t>
  </si>
  <si>
    <t>By contrast,</t>
  </si>
  <si>
    <t>By doing so,</t>
  </si>
  <si>
    <t>Second,</t>
  </si>
  <si>
    <t>Transition</t>
  </si>
  <si>
    <t>Portuguese researcher Isabel C.F.R. Ferreira reports that the caffeic acid in cauliflower mushrooms benefits the mushroom by combating harmful molecules called free radicals. ________ Ferreira suggests that the acid can promote cellular health in humans, who also experience free radical damage.</t>
  </si>
  <si>
    <t>For example,</t>
  </si>
  <si>
    <t>Moreover,</t>
  </si>
  <si>
    <t>Conversely,</t>
  </si>
  <si>
    <t>Rather,</t>
  </si>
  <si>
    <t>In economics, sugar is considered a soft commodity, while copper and crude oil are considered hard commodities. The categorical distinction between soft and hard commodities lies not in the products' strength or durability but in their origin: the former type is grown or farmed, while the latter is mined or drilled. ________ pine lumber is as much a soft commodity as sugar, despite its decidedly sturdier composition.</t>
  </si>
  <si>
    <t>Though it is grown from the earth,</t>
  </si>
  <si>
    <t>In a notable exception to this rule,</t>
  </si>
  <si>
    <t>By this definition,</t>
  </si>
  <si>
    <t>Summarizing this principle,</t>
  </si>
  <si>
    <r>
      <rPr>
        <rFont val="Arial"/>
        <color rgb="FF000000"/>
        <sz val="10.0"/>
      </rPr>
      <t xml:space="preserve">While researching a topic, a student has taken the following notes:
- A copyright prevents a book's contents from being reproduced (published) without permission from the copyright holder.
- When a book's copyright expires, the book enters the public domain and can be legally reproduced by anyone.
- </t>
    </r>
    <r>
      <rPr>
        <rFont val="Arial"/>
        <i/>
        <color rgb="FF000000"/>
        <sz val="10.0"/>
      </rPr>
      <t>Billy Budd, Sailor</t>
    </r>
    <r>
      <rPr>
        <rFont val="Arial"/>
        <color rgb="FF000000"/>
        <sz val="10.0"/>
      </rPr>
      <t xml:space="preserve"> is a novella by Herman Melville.
- It entered the public domain in 2020.
- </t>
    </r>
    <r>
      <rPr>
        <rFont val="Arial"/>
        <i/>
        <color rgb="FF000000"/>
        <sz val="10.0"/>
      </rPr>
      <t>The Common Reader</t>
    </r>
    <r>
      <rPr>
        <rFont val="Arial"/>
        <color rgb="FF000000"/>
        <sz val="10.0"/>
      </rPr>
      <t xml:space="preserve"> is an essay collection by Virginia Woolf.
- It entered the public domain in 2021.</t>
    </r>
  </si>
  <si>
    <r>
      <rPr>
        <rFont val="Arial"/>
        <i val="0"/>
        <color rgb="FF000000"/>
        <sz val="10.0"/>
      </rPr>
      <t xml:space="preserve">The student wants to emphasize the order in which </t>
    </r>
    <r>
      <rPr>
        <rFont val="Arial"/>
        <i/>
        <color rgb="FF000000"/>
        <sz val="10.0"/>
      </rPr>
      <t>Billy Budd, Sailor</t>
    </r>
    <r>
      <rPr>
        <rFont val="Arial"/>
        <i val="0"/>
        <color rgb="FF000000"/>
        <sz val="10.0"/>
      </rPr>
      <t xml:space="preserve"> and </t>
    </r>
    <r>
      <rPr>
        <rFont val="Arial"/>
        <i/>
        <color rgb="FF000000"/>
        <sz val="10.0"/>
      </rPr>
      <t>The Common Reader</t>
    </r>
    <r>
      <rPr>
        <rFont val="Arial"/>
        <i val="0"/>
        <color rgb="FF000000"/>
        <sz val="10.0"/>
      </rPr>
      <t xml:space="preserve"> entered the public domain. Which choice most effectively uses relevant information from the notes to accomplish this goal?</t>
    </r>
  </si>
  <si>
    <r>
      <rPr>
        <rFont val="Arial"/>
        <i/>
        <color rgb="FF000000"/>
        <sz val="10.0"/>
      </rPr>
      <t>Billy Budd, Sailor</t>
    </r>
    <r>
      <rPr>
        <rFont val="Arial"/>
        <i val="0"/>
        <color rgb="FF000000"/>
        <sz val="10.0"/>
      </rPr>
      <t xml:space="preserve">, a novella by Herman Melville, and </t>
    </r>
    <r>
      <rPr>
        <rFont val="Arial"/>
        <i/>
        <color rgb="FF000000"/>
        <sz val="10.0"/>
      </rPr>
      <t>The Common Reader</t>
    </r>
    <r>
      <rPr>
        <rFont val="Arial"/>
        <i val="0"/>
        <color rgb="FF000000"/>
        <sz val="10.0"/>
      </rPr>
      <t>, an essay collection by Virginia Woolf, are both in the public domain.</t>
    </r>
  </si>
  <si>
    <r>
      <rPr>
        <rFont val="Arial"/>
        <i val="0"/>
        <color rgb="FF000000"/>
        <sz val="10.0"/>
      </rPr>
      <t xml:space="preserve">The year was 2021, and the copyrights to </t>
    </r>
    <r>
      <rPr>
        <rFont val="Arial"/>
        <i/>
        <color rgb="FF000000"/>
        <sz val="10.0"/>
      </rPr>
      <t>Billy Budd, Sailor</t>
    </r>
    <r>
      <rPr>
        <rFont val="Arial"/>
        <i val="0"/>
        <color rgb="FF000000"/>
        <sz val="10.0"/>
      </rPr>
      <t xml:space="preserve"> and </t>
    </r>
    <r>
      <rPr>
        <rFont val="Arial"/>
        <i/>
        <color rgb="FF000000"/>
        <sz val="10.0"/>
      </rPr>
      <t>The Common Reader</t>
    </r>
    <r>
      <rPr>
        <rFont val="Arial"/>
        <i val="0"/>
        <color rgb="FF000000"/>
        <sz val="10.0"/>
      </rPr>
      <t xml:space="preserve"> had finally expired.</t>
    </r>
  </si>
  <si>
    <r>
      <rPr>
        <rFont val="Arial"/>
        <i/>
        <color rgb="FF000000"/>
        <sz val="10.0"/>
      </rPr>
      <t>Billy Budd, Sailor</t>
    </r>
    <r>
      <rPr>
        <rFont val="Arial"/>
        <i val="0"/>
        <color rgb="FF000000"/>
        <sz val="10.0"/>
      </rPr>
      <t xml:space="preserve">, a novella by Herman Melville, entered the public domain in 2020, with Virginia Woolf's essay collection </t>
    </r>
    <r>
      <rPr>
        <rFont val="Arial"/>
        <i/>
        <color rgb="FF000000"/>
        <sz val="10.0"/>
      </rPr>
      <t>The Common Reader</t>
    </r>
    <r>
      <rPr>
        <rFont val="Arial"/>
        <i val="0"/>
        <color rgb="FF000000"/>
        <sz val="10.0"/>
      </rPr>
      <t xml:space="preserve"> following in 2021.</t>
    </r>
  </si>
  <si>
    <r>
      <rPr>
        <rFont val="Arial"/>
        <i val="0"/>
        <color rgb="FF000000"/>
        <sz val="10.0"/>
      </rPr>
      <t xml:space="preserve">Though they once were copyrighted works, </t>
    </r>
    <r>
      <rPr>
        <rFont val="Arial"/>
        <i/>
        <color rgb="FF000000"/>
        <sz val="10.0"/>
      </rPr>
      <t>Billy Budd, Sailor</t>
    </r>
    <r>
      <rPr>
        <rFont val="Arial"/>
        <i val="0"/>
        <color rgb="FF000000"/>
        <sz val="10.0"/>
      </rPr>
      <t xml:space="preserve"> and </t>
    </r>
    <r>
      <rPr>
        <rFont val="Arial"/>
        <i/>
        <color rgb="FF000000"/>
        <sz val="10.0"/>
      </rPr>
      <t>The Common Reader</t>
    </r>
    <r>
      <rPr>
        <rFont val="Arial"/>
        <i val="0"/>
        <color rgb="FF000000"/>
        <sz val="10.0"/>
      </rPr>
      <t xml:space="preserve"> are now in the public domain.</t>
    </r>
  </si>
  <si>
    <t>The Apollo Moon landings (1969-1972) left charged particle detectors and equipment too heavy for liftoff on the Moon and produced large amounts of data. Researcher Philip Metzger, who is investigating the long-term effects of being on the Moon, continues to use Apollo's data, demonstrating that the missions' value to science _____</t>
  </si>
  <si>
    <t>Rhetorical Synthesis</t>
  </si>
  <si>
    <t>persists</t>
  </si>
  <si>
    <t>responds</t>
  </si>
  <si>
    <t>arrives</t>
  </si>
  <si>
    <t>agrees</t>
  </si>
  <si>
    <t>While researching a topic, a student has taken the following notes:
- During the Industrial Revolution (from the mid-1700s to the mid-1800s), the number of people living in urban areas of the UK grew substantially (30%).
- Urbanization occurred as large segments of the country's rural population relocated to cities to support the burgeoning manufacturing industry.
- The industrial city of Manchester, England, experienced the most population growth (2,000%).
- A comparison of a 1746 map of Manchester with maps of the city from the late 1800s reflects the city's expansion.
- According to historian Donna Sherman, these maps present "a powerful visual representation of the transformation of Manchester's landscape."</t>
  </si>
  <si>
    <t>The student wants to connect the quotation from Sherman to the increase in the UK's urban population during the Industrial Revolution. Which choice most effectively uses relevant information from the notes to accomplish this goal?</t>
  </si>
  <si>
    <t>Sherman claims that maps of Industrial Revolution-era Manchester, England, present "a powerful visual representation of the transformation of Manchester's landscape" during a time period in which the UK experienced a substantial (2,000%) increase in population.</t>
  </si>
  <si>
    <t>The following text is from Billie Jean King's 2021 autobiography All In.
[P]eople on both sides of my family had repeatedly demonstrated an independent streak. In the end, that was the temperament I gravitated toward, too. Both the Moffitts and the members of my mother's clan, the Jermans, came from mining and oil-geyser towns on the western frontier. They kept their heads down and worked, worked, worked. But they also bucked convention.</t>
  </si>
  <si>
    <t>As used in the text, what does the word "demonstrated" most nearly mean?</t>
  </si>
  <si>
    <t>Rural populations relocating to cities like Manchester created a phenomenon that Sherman describes as "a powerful visual representation" of how the UK transformed during the Industrial Revolution.</t>
  </si>
  <si>
    <t>Protested</t>
  </si>
  <si>
    <t>Defined</t>
  </si>
  <si>
    <t>Sherman claims that period maps of the UK present "a powerful visual representation" of how the country's rural landscape was transformed by population shifts during the Industrial Revolution.</t>
  </si>
  <si>
    <t>Exhibited</t>
  </si>
  <si>
    <t>Confirmed</t>
  </si>
  <si>
    <t>The sizeable growth in the UK's urban population during the Industrial Revolution is reflected in before-and-after maps that present, in Sherman's view, "a powerful visual representation" of the transformation of Manchester's landscape.</t>
  </si>
  <si>
    <t>Scientists studying marine ecosystems were surprised by the extent of internal carbon recycling by red coralline algae. While some _____ of carbon was expected, the scientists found that the algae reabsorb nearly 40% of the carbon dioxide they produce during calcification processes and harness it for photosynthesis.</t>
  </si>
  <si>
    <t>reuse</t>
  </si>
  <si>
    <t>While researching a topic, a student has taken the following notes:
• The A.M. Turing Award is a prestigious award given by the Association for Computing Machinery (ACM).
• The ACM gives the award for "major contributions of lasting importance to computing."
• It is named after groundbreaking British mathematician Alan Turing.
• Frances E. Allen won the award in 2006 for seminal contributions to optimizing compiler techniques.</t>
  </si>
  <si>
    <t>imitation</t>
  </si>
  <si>
    <t>supply</t>
  </si>
  <si>
    <t>The student wants to explain whom the award is named for. Which choice most effectively uses relevant information from the notes to accomplish this goal?</t>
  </si>
  <si>
    <t>examination</t>
  </si>
  <si>
    <t>In 2006, Frances E. Allen won the A.M. Turing Award for seminal contributions to optimizing compiler techniques.</t>
  </si>
  <si>
    <t>The A.M. Turing Award is given for "major contributions of lasting importance to computing."</t>
  </si>
  <si>
    <t>The A.M. Turing Award is named for groundbreaking British mathematician Alan Turing.</t>
  </si>
  <si>
    <t>It was in 2006 that Frances E. Allen won the A.M. Turing Award.</t>
  </si>
  <si>
    <t>The traditional Puerto Rican dish mofongo, characterized broadly by its base of mashed plantains, is often ___ in its preparation and serving style. Coastal families typically serve it with fresh-caught octopus and shrimp, mountain families tend to prepare it with chicharrones, and restaurant chefs in San Juan explore innovations like topping the dish with guarapo (juice from sugarcane).</t>
  </si>
  <si>
    <t>seasonal</t>
  </si>
  <si>
    <t>proprietary</t>
  </si>
  <si>
    <t>meticulous</t>
  </si>
  <si>
    <t>localized</t>
  </si>
  <si>
    <r>
      <rPr>
        <rFont val="Arial"/>
        <color rgb="FF000000"/>
        <sz val="10.0"/>
      </rPr>
      <t xml:space="preserve">While researching a topic, a student has taken the following notes:
- Isaac Bashevis Singer was an acclaimed writer.
- His first published work of fiction was a short story.
- It was called "Gimpel the Fool."
- It first appeared in </t>
    </r>
    <r>
      <rPr>
        <rFont val="Arial"/>
        <i/>
        <color rgb="FF000000"/>
        <sz val="10.0"/>
      </rPr>
      <t>The Partisan Review</t>
    </r>
    <r>
      <rPr>
        <rFont val="Arial"/>
        <color rgb="FF000000"/>
        <sz val="10.0"/>
      </rPr>
      <t xml:space="preserve"> in 1953.</t>
    </r>
  </si>
  <si>
    <t>The student wants to identify the title of Isaac Bashevis Singer's first published short story. Which choice most effectively uses relevant information from the notes to accomplish this goal?</t>
  </si>
  <si>
    <t>Acclaimed writer Isaac Bashevis Singer's first published work of fiction was a short story.</t>
  </si>
  <si>
    <t>Isaac Bashevis Singer's first published short story was called "Gimpel the Fool."</t>
  </si>
  <si>
    <r>
      <rPr>
        <rFont val="Arial"/>
        <i val="0"/>
        <color rgb="FF000000"/>
        <sz val="10.0"/>
      </rPr>
      <t xml:space="preserve">In 1953, a short story by Isaac Bashevis Singer appeared in </t>
    </r>
    <r>
      <rPr>
        <rFont val="Arial"/>
        <i/>
        <color rgb="FF000000"/>
        <sz val="10.0"/>
      </rPr>
      <t>The Partisan Review</t>
    </r>
    <r>
      <rPr>
        <rFont val="Arial"/>
        <i val="0"/>
        <color rgb="FF000000"/>
        <sz val="10.0"/>
      </rPr>
      <t>.</t>
    </r>
  </si>
  <si>
    <t>Isaac Bashevis Singer's first published</t>
  </si>
  <si>
    <r>
      <rPr>
        <rFont val="Arial"/>
        <i val="0"/>
        <color rgb="FF000000"/>
        <sz val="10.0"/>
      </rPr>
      <t xml:space="preserve">The following text is from Charles Chesnutt's 1905 novel The Colonel's Dream. Mr. French and Mr. Kirby work together.
Mr. French, the senior partner, who sat opposite Kirby, was an older man ---a safe guess would have placed him somewhere in the debatable ground between forty and fifty; of a </t>
    </r>
    <r>
      <rPr>
        <rFont val="Arial"/>
        <i/>
        <color rgb="FF000000"/>
        <sz val="10.0"/>
      </rPr>
      <t>good</t>
    </r>
    <r>
      <rPr>
        <rFont val="Arial"/>
        <i val="0"/>
        <color rgb="FF000000"/>
        <sz val="10.0"/>
      </rPr>
      <t xml:space="preserve"> height, as could be seen even from the seated figure, the upper part of which was held erect with the unconscious ease which one associates with military training.</t>
    </r>
  </si>
  <si>
    <t>As used in the text, what does the word "good" most nearly mean?</t>
  </si>
  <si>
    <t>Reliable</t>
  </si>
  <si>
    <t>Courteous</t>
  </si>
  <si>
    <t>Considerable</t>
  </si>
  <si>
    <t>Capable</t>
  </si>
  <si>
    <t>The Uffington White Horse in England is a large chalk image of a horse made by ancient peoples. Monuments like these were an inspiration for the land art movement that began in the 1960s. Land art artists create works set in the outdoors. For example, in her 1976 work Sun Tunnels, Nancy Holt placed four tubes made of concrete in a Utah desert to form an X and frame the sun.</t>
  </si>
  <si>
    <r>
      <rPr>
        <rFont val="Arial"/>
        <color rgb="FF000000"/>
        <sz val="10.0"/>
      </rPr>
      <t xml:space="preserve">The following text is from Thomas Hardy's 1874 novel </t>
    </r>
    <r>
      <rPr>
        <rFont val="Arial"/>
        <i/>
        <color rgb="FF000000"/>
        <sz val="10.0"/>
      </rPr>
      <t>Far from the Madding Crowd</t>
    </r>
    <r>
      <rPr>
        <rFont val="Arial"/>
        <color rgb="FF000000"/>
        <sz val="10.0"/>
      </rPr>
      <t>. In the text, the narrator describes an open tract of land.
The changes of the seasons are less obtrusive on spots of this kind than amid woodland scenery. Still, to a close observer, they are just as perceptible; the difference is that their media of manifestation are less trite and familiar than such well-known ones as the bursting of the buds or the fall of the leaf.</t>
    </r>
  </si>
  <si>
    <t>As used in the text, what does the word "obtrusive" most nearly mean?</t>
  </si>
  <si>
    <t>The text argues against placing works of art outside.</t>
  </si>
  <si>
    <t>Stubborn</t>
  </si>
  <si>
    <t>The text provides information about the land art movement.</t>
  </si>
  <si>
    <t>The text describes the popularity of art galleries in the 1960s.</t>
  </si>
  <si>
    <t>Expansive</t>
  </si>
  <si>
    <t>The text describes the benefits of being an artist.</t>
  </si>
  <si>
    <t>Insolent</t>
  </si>
  <si>
    <t>Conspicuous</t>
  </si>
  <si>
    <t>Though Chloe Zhao's films are fictional, she incorporates real events into them in a documentary-like style and casts nonprofessional actors who reside in the places that she aims to portray. She also encourages these actors, whether they are teenagers living on the Pine Ridge Indian Reservation or adults who travel the country for work, to put as much of themselves into their roles as possible. Her approach adds powerful resonance to films that explore the highly personal experiences of place and home, and often the difficult decision to stay or leave.</t>
  </si>
  <si>
    <t>The text explains how Chloe Zhao's films blend fiction with real elements.</t>
  </si>
  <si>
    <t>The text argues against placing nonprofessional actors in films.</t>
  </si>
  <si>
    <t>The text describes the benefits of fictional films.</t>
  </si>
  <si>
    <t>The metal displayed in the structure of ARK by APOLLO Architects Associates and the metal hardware in One-Room Residence of 5 Layers by Matsuyama Architect and Associates are representative aspects of a juxtaposition common in contemporary Japanese architecture: the _______ of sleek, contemporary elements and traditional organic materials in a single design is a trend with both aesthetic and highly practical purposes.</t>
  </si>
  <si>
    <t>synthesis</t>
  </si>
  <si>
    <t>While many initiatives aimed at limiting atmospheric warming focus on curbing emissions of methane (CH4), a greenhouse gas that is typically generated by microbially mediated processes, Lisa Y. Stein and Mary E. Lidstrom caution that under certain circumstances, such efforts cause microbial communities to accelerate production of nitrous oxide (N2O), another potent greenhouse gas, thus offsetting the impact of CH4 reduction. Researchers, therefore, need to take such biological interactions into account to ensure that any CH4 mitigation strategy has an overall positive climate effect.</t>
  </si>
  <si>
    <t>designation</t>
  </si>
  <si>
    <t>analysis</t>
  </si>
  <si>
    <t>It mentions a phenomenon that negatively affects the environment, summarizes competing methods for remedying that phenomenon, and then concedes that even apparently distinct methods share similar problems.</t>
  </si>
  <si>
    <t>diffusion</t>
  </si>
  <si>
    <t>It describes a widely accepted approach to addressing an environmental issue caused by a type of chemical emissions, indicates a potential disadvantage of that approach, and then discusses an implication of that disadvantage</t>
  </si>
  <si>
    <t>It reports on a predicament resulting from emissions of a particular greenhouse gas, outlines a strategy aimed at solving that predicament, and then admonishes those who utilize that strategy without fully comprehending its ramifications.</t>
  </si>
  <si>
    <t>It presents an ongoing environmental challenge, demonstrates why the impact of that challenge may intensify over time, and then criticizes a misguidedly narrow attempt to address that impact</t>
  </si>
  <si>
    <t>A debut novel is the first book that an author has published. An example of a debut novel is The Skin I'm In by Sharon G. Flake. It was published in 1998. Debut novels are especially interesting to literary critics and readers because these books offer a look at new voices in the literary world.</t>
  </si>
  <si>
    <t>Which choice best states the main topic of the text?</t>
  </si>
  <si>
    <t>Bats that hunt nocturnally emit pulses of sound that can help them locate airborne moths in the dark. This predation method placed evolutionary pressure on nocturnal moths, some of which eventually developed the ability to detect the pulses, thereby enabling them to ________ predation; other moths (particularly the ancestors of butterflies) shifted away from nocturnalism and adapted to being active only during daylight.</t>
  </si>
  <si>
    <t>The benefits of reading</t>
  </si>
  <si>
    <t>Famous literary critics</t>
  </si>
  <si>
    <t>Debut novels</t>
  </si>
  <si>
    <t>enact</t>
  </si>
  <si>
    <t>Careers in the publishing industry</t>
  </si>
  <si>
    <t>annul</t>
  </si>
  <si>
    <t>evade</t>
  </si>
  <si>
    <t>attain</t>
  </si>
  <si>
    <t>Scientists collected information about brown bears in Katmai National Park in Alaska. This information included each bear's sex, age, and approximate weight. For the bear with identification number 122, for example, the scientists recorded that the bear was ____</t>
  </si>
  <si>
    <t>Which choice most effectively uses data from the table to complete the statement?</t>
  </si>
  <si>
    <t>male, 4 years old, and weighed approximately 275 pounds.</t>
  </si>
  <si>
    <t>female, 10 years old, and weighed approximately 400 pounds.</t>
  </si>
  <si>
    <t>male, 3 years old, and weighed approximately 200 pounds.</t>
  </si>
  <si>
    <t>female, 6 years old, and weighed approximately 325 pounds.</t>
  </si>
  <si>
    <r>
      <rPr>
        <rFont val="Arial"/>
        <i val="0"/>
        <color rgb="FF000000"/>
        <sz val="10.0"/>
      </rPr>
      <t xml:space="preserve">Described in treatises mainly published between 1768 and 1950 (such as John Austin's </t>
    </r>
    <r>
      <rPr>
        <rFont val="Arial"/>
        <i/>
        <color rgb="FF000000"/>
        <sz val="10.0"/>
      </rPr>
      <t>A System of Stenographic Music</t>
    </r>
    <r>
      <rPr>
        <rFont val="Arial"/>
        <i val="0"/>
        <color rgb="FF000000"/>
        <sz val="10.0"/>
      </rPr>
      <t>), musical stenography used quickly written squiggles and dots in an attempt to preserve, in print and in real time, the _______ features of live performances—those that result from impromptu deviations of performers when fidelity to an established musical score is not mandated.</t>
    </r>
  </si>
  <si>
    <t>Great Expectations is an 1861 novel by Charles Dickens. The narrator describes his uncle, Joe Gargery, as being both powerful and tender: ____</t>
  </si>
  <si>
    <t>Which quotation from Great Expectations most effectively illustrates the claim?</t>
  </si>
  <si>
    <t>"There I stood, for minutes, looking at Joe, already at work with a glow of health and strength upon his face that made it show as if the bright sun of the life in store for him were shining on it."</t>
  </si>
  <si>
    <t>"In his working-clothes, Joe was a well-knit characteristic-looking blacksmith; in his holiday clothes, he was more like a scarecrow in good circumstances, than anything else."</t>
  </si>
  <si>
    <t>"I have often thought [Joe] since, like the steam-hammer that can crush a man or pat an egg-shell, in his combination of strength with gentleness"</t>
  </si>
  <si>
    <t>inevitable</t>
  </si>
  <si>
    <t>"Estella opened the gate as usual, and, the moment she appeared, Joe took his hat off and stood weighing it by the brim in both his hands."</t>
  </si>
  <si>
    <t>extemporaneous</t>
  </si>
  <si>
    <t>inconspicuous</t>
  </si>
  <si>
    <t>Math</t>
  </si>
  <si>
    <t>Fish Population in a Taiwanese Tide Pool, January 2001 to October 2001
Lin-Tai Ho and colleagues counted fish in a tide pool in Taiwan at several times during the year and found that some species had a significantly higher maximum population count than others. For example, the highest count for the combtooth blenny was 62 individuals in January of 2001, whereas the highest count for the striated rockskipper was _____</t>
  </si>
  <si>
    <t>Which choice most effectively uses data from the graph to complete the example?</t>
  </si>
  <si>
    <t>16 individuals in October of 2001.</t>
  </si>
  <si>
    <t>15 individuals in July of 2001.</t>
  </si>
  <si>
    <t>72 individuals in January of 2001.</t>
  </si>
  <si>
    <t>5 individuals in July of 2001.</t>
  </si>
  <si>
    <t>The Pacific halibut is ectothermic, or cold-blooded, and the yellowfin tuna is a regional endotherm, meaning that parts of its body are typically warmer than the surrounding water. The basking shark had been classified as a full ectotherm, a position that became ________ after researchers Haley R. Dolton and colleagues showed that the basking shark's body temperature is consistently 1.0 to 1.5°C warmer than the water.</t>
  </si>
  <si>
    <t>inconsolable</t>
  </si>
  <si>
    <t>unequivocal</t>
  </si>
  <si>
    <t>untenable</t>
  </si>
  <si>
    <t>unanticipated</t>
  </si>
  <si>
    <r>
      <rPr>
        <rFont val="Arial"/>
        <i val="0"/>
        <color rgb="FF000000"/>
        <sz val="10.0"/>
      </rPr>
      <t xml:space="preserve">In the early 1970s, art historian Michael Baxandall created an approach to viewing art called the "period eye," which explains how to look at art through the lens of its historical period. Baxandall argued that it is critical that art historians understand and communicate the original social and cultural contexts of older works of art so that it is clear what the artists intended and how the pieces would have been understood by their original viewers. </t>
    </r>
    <r>
      <rPr>
        <rFont val="Arial"/>
        <i/>
        <color rgb="FF000000"/>
        <sz val="10.0"/>
      </rPr>
      <t>Since it was first introduced, Baxandall's period eye has significantly influenced the practice of art history.</t>
    </r>
  </si>
  <si>
    <t>None</t>
  </si>
  <si>
    <t>The Heege Manuscript (HM) is a collection of booklets of once-unbound paper sheets on which Richard Heege copied various texts at his fifteenth-century home between Derbyshire and Nottinghamshire in England. Most other contemporaneous personal manuscripts like the Findern Anthology (FA) consist primarily of pieces for polite society like genteel romances and other readings favored by elites, whereas the HM has a distinctive emphasis on the popular, including entertainments like nonsense verse, and the practical, with advice about religion.</t>
  </si>
  <si>
    <t>Which statement, if true, would most strongly support the claim in the underlined sentence?</t>
  </si>
  <si>
    <t>To provide context for the text's suggestion that the HM is an outlier among collections of its time</t>
  </si>
  <si>
    <t>A) Many art historians working before the 1970s produced detailed analyses of the social and cultural contexts of older artworks, though few extended that approach to artworks produced in their own lifetimes
B) Art historians working today have largely rejected the idea, common among Baxandall's predecessors, that artists' intentions should influence how artworks are interpreted.
C) For some historical periods, it is difficult for art historians to reconstruct how the original viewers of artworks understood what artists' intentions for their works were.
D) Numerous art historians of the late twentieth century and twenty-first century have focused their scholarship on how various artworks were interpreted at the time of their creation.</t>
  </si>
  <si>
    <t>To emphasize the ubiquity of hand-copied collections like the FA and the HM in medieval England</t>
  </si>
  <si>
    <t>To suggest that the FA is a poor point of comparison for a collection like the HM</t>
  </si>
  <si>
    <t>To illustrate how the discussion of the HM earlier in the text can improve historians' understanding of the FA</t>
  </si>
  <si>
    <t>Last-mile delivery refers to the final step in delivering packages to customers --- and this final step can be very difficult. Delivery companies are contending with the increasing popularity of next-day delivery and with complex and inefficient delivery routes, resulting in a growing bottleneck of packages in the last-mile delivery stage. These companies have been experimenting with innovative solutions in last-mile delivery, including autonomous delivery robots (robots that deliver parcels from a van). Unfortunately, many of these innovations create new obstacles (e.g., robots travel relatively slowly since they must navigate many ground-level obstacles) and are not ready for full-scale implementation. As a result, delivery companies will likely _____</t>
  </si>
  <si>
    <t>encourage consumers to expect next-day delivery only for products that are widely available</t>
  </si>
  <si>
    <t>be able to meet consumer's expectations for next-day delivery in many areas but not in all regions.</t>
  </si>
  <si>
    <t>have little incentive to find a solution to last-mile delivery challenges.</t>
  </si>
  <si>
    <t>The following text is Emily Dickinson's circa 1859 poem "Setting Sail."
Exultation is the going
Of an inland soul to sea,
Past the houses, past the headlands,
Into deep eternity!
Bred as we, among the mountains,
Can the sailor understand
The divine intoxication
Of the first league out from land?</t>
  </si>
  <si>
    <t>continue to struggle with last-mile delivery operations until viable solutions become available</t>
  </si>
  <si>
    <t>The speaker recounts feeling profoundly moved by a recent undertaking, then questions the widespread perception that such undertakings are unremarkable.</t>
  </si>
  <si>
    <t>The speaker depicts a common attitude at the outset of a journey, then contrasts that attitude with the speaker's state of mind after embarking on an actual journey.</t>
  </si>
  <si>
    <t>The speaker acknowledges the allure of novel experiences, then hints at the danger of failing to appreciate what is familiar.</t>
  </si>
  <si>
    <t>The speaker characterizes the experience of a particular emotion by way of a comparison, then extends that comparison to</t>
  </si>
  <si>
    <t>The olona shrub is one of many forest plant species native to Oahu (a Hawaiian island) that are at risk of extinction in the wild. Ecologists say that fruit-eating birds help support these species' population numbers by dropping seeds from the plants' fruits to different spots where new plants can grow. The birds native to Oahu that used to do this have all gone extinct over time. However, the common waxbill and other fruit-eating bird species brought to the island in the last 150 years have been found to spread plant seeds. Based on this finding, some ecologists suggest that olona shrubs and other forest plants native to Dahau _____</t>
  </si>
  <si>
    <t>probably established themselves on the island at about the same time as common waxbills and other fruit-eating birds did.</t>
  </si>
  <si>
    <t>may now depend on non-native birds, such as the common waxbill, to help maintain and increase their populations on the island</t>
  </si>
  <si>
    <t>were likely already close to extinction long before non-native birds arrived on the island</t>
  </si>
  <si>
    <t>seem to produce fewer fruits per plant now than they did when fruit-eating birds native to the island were still present</t>
  </si>
  <si>
    <t>Text 1
The University of Chicago and the online class provider Udacity are two of the many institutions offering training programs in entrepreneurship. But what results do such programs produce? In a study of college students in Scotland, researcher Laura Galloway and colleagues addressed this question and reported that participants who received entrepreneurial training showed positive attitudes toward entrepreneurship.
Text 2
While studies of entrepreneurial training typically report positive results, a close look at these studies reveals widespread methodological shortcomings. This research literature is plagued by unclear hypotheses, insufficient sample sizes, a lack of control groups, and failures to establish pretraining baselines for the measured attributes of participants.</t>
  </si>
  <si>
    <t>Based on the texts, the author of Text 2 would most like to know the answer to which question about Galloway and colleagues' study that is not addressed in Text 1?</t>
  </si>
  <si>
    <t>Established in 1935 for the specific purpose of promoting collective bargaining between US labor unions and employers, _____ helped the nation recover from the Great Depression.</t>
  </si>
  <si>
    <t>Did Galloway and colleagues measure any attributes of the participants in the study after they had received the training?</t>
  </si>
  <si>
    <t>the US government's many ways, just one of which was the National Labor Relations Act (NLRA),</t>
  </si>
  <si>
    <t>Did Galloway and colleagues compare Scottish college students who received the training with a group of successful entrepreneurs who did not receive the training?</t>
  </si>
  <si>
    <t>the National Labor Relations Act (NLRA) was just one of many ways the US government</t>
  </si>
  <si>
    <t>many ways, just one of which was the National Labor Relations Act(NLRA), were how the US government</t>
  </si>
  <si>
    <t>How many Scottish college students did Galloway and colleagues include in the study?</t>
  </si>
  <si>
    <t>the US government in many ways, just one of which was the National Labor Relations Act (NLRA),</t>
  </si>
  <si>
    <t>Did the participants that Galloway and colleagues included in the study share any characteristics or life circumstances?</t>
  </si>
  <si>
    <t>Cross-Text Connections</t>
  </si>
  <si>
    <t>In their 2019 study of butterfly diversity at Rupa Lake in Nepal, researcher Hari Adhikari and his colleagues counted eight Paris peacock _____ to the Papilionidae family, the Paris peacock (Papilio paris) is known to be rare.</t>
  </si>
  <si>
    <t>butterflies, belonging</t>
  </si>
  <si>
    <t>butterflies. Belonging</t>
  </si>
  <si>
    <t>butterflies and belonging</t>
  </si>
  <si>
    <t>Prabuddha De et al. found that a recommender system (RS)—an algorithm that generates personalized product suggestions for online shoppers—impacted consumer behavior and increased sales, a result that was corroborated by Dokyun Lee and Kartik Hosanagar. However, Lee and Hosanagar also determined that whereas an RS had a stronger positive effect on item views for utilitarian products (e.g., toothbrushes) than for hedonic products (e.g., chocolates), the RS had a stronger positive effect on likelihood of purchase for hedonic products than for utilitarian ones.</t>
  </si>
  <si>
    <t>butterflies belonging</t>
  </si>
  <si>
    <t>Information in the text best supports which statement about recommender systems?</t>
  </si>
  <si>
    <t>While recommender systems can affect consumer behavior toward suggested products, those effects are not uniform in nature and strength across product categories.</t>
  </si>
  <si>
    <t>By directing customers toward specific product categories on a retailer's website, recommender systems may limit the variety of items seen by online shoppers.</t>
  </si>
  <si>
    <t>While recommender systems cause consumers to spend more time viewing utilitarian items such as toothbrushes, recommender systems' positive effect on purchase rates is likely limited to hedonic items such as chocolates.</t>
  </si>
  <si>
    <t>By proposing the most useful options to consumers, recommender systems boost the online visibility of utilitarian items that otherwise tend to be overlooked.</t>
  </si>
  <si>
    <t>How a folktale begins depends largely on the language in which it _____ folktales told in the Pashto language open with a phrase that roughly means "there was this work that." English-language folktales, on the other hand, often begin with "once upon a time."</t>
  </si>
  <si>
    <t>originates. Many</t>
  </si>
  <si>
    <t>originates, many</t>
  </si>
  <si>
    <t>originates many</t>
  </si>
  <si>
    <t>originates many,</t>
  </si>
  <si>
    <t>Due to the Chorotega region's climate, various types of forested areas were converted to cattle pasture as rising international meat prices drove a cattle ranching boom in the 1960s and 1970s. Juan Pablo Arroyo-Mora and colleagues used historical aerial photography and remote sensing data to track fragmentation metrics across different land use capability classes (categories that indicate possible uses of forest land). One such metric, edge density, can be used to indicate the regularity of forest patch sizes,</t>
  </si>
  <si>
    <t>%GRAPH% Which choice most effectively uses data from the graph to complete the assertion?</t>
  </si>
  <si>
    <t>Maize was among the many plant species from the Western Hemisphere introduced into the Eastern Hemisphere in the years following Christopher Columbus's first transatlantic voyage in 1492. This ongoing transfer of species between hemispheres _____ now known as the Columbian Exchange.</t>
  </si>
  <si>
    <t>140 for Class VII.</t>
  </si>
  <si>
    <t>were</t>
  </si>
  <si>
    <t>160 for Class I-IV.</t>
  </si>
  <si>
    <t>being</t>
  </si>
  <si>
    <t>is</t>
  </si>
  <si>
    <t>The Apollo Moon landings (1969-1972) left charged particle detectors and equipment too heavy for liftoff on the Moon and produced large amounts of data. Researcher Philip Metzger, who is investigating the long-term effects of being on the Moon, continues to use Apollo’s data, demonstrating that the missions’ value to science _____</t>
  </si>
  <si>
    <t>60 for Class VII.</t>
  </si>
  <si>
    <t>are</t>
  </si>
  <si>
    <t>50 for Class VI.</t>
  </si>
  <si>
    <t>Now seen as a mechanical precursor to the e-reader, Spanish educator and inventor Angela Ruiz Robles's Enciclopedia Mecanica eschewed pages in favor of three horizontal paper scrolls that could be easily swapped out to accommodate a range of subjects. Though Ruiz Robles's prototype had limited functionality, interactive features described in her 1949 patent --- such as a button labeled "verb" that would illuminate relevant text when pressed --- _____ an impressive early vision of hypertext.</t>
  </si>
  <si>
    <t>revealing</t>
  </si>
  <si>
    <t>with decreases in edge density suggesting a trend towards uninterrupted forest patches with more regular shapes. The team found a range of edge density levels, from lows of around 80 meters per hectare or less in the 1960s and 1970s for all classes, to a high in 1986 of approximately __________</t>
  </si>
  <si>
    <t>has revealed</t>
  </si>
  <si>
    <t>reveals</t>
  </si>
  <si>
    <t>Which choice completes the text with the most logical and precise information?</t>
  </si>
  <si>
    <t>reveal</t>
  </si>
  <si>
    <t>90 meters</t>
  </si>
  <si>
    <t>The following text is from Billie Jean King’s 2021 autobiography All In.
[P]eople on both sides of my family had repeatedly demonstrated an independent streak. In the end, that was the temperament I gravitated toward, too. Both the Moffitts and the members of my mother’s clan, the Jermans, came from mining and oil-geyser towns on the western frontier. They kept their heads down and worked, worked, worked. But they also bucked convention.</t>
  </si>
  <si>
    <t>190 meters</t>
  </si>
  <si>
    <t>280 meters</t>
  </si>
  <si>
    <t>380 meters</t>
  </si>
  <si>
    <t>In the seventeenth century, market-savvy British greenhouses scrambled to cultivate _____ the small group of wealthy consumers who could afford to import them from the Caribbean, the fruits had become a status symbol.</t>
  </si>
  <si>
    <t>pineapples for</t>
  </si>
  <si>
    <t>pineapples, which for</t>
  </si>
  <si>
    <t>pineapples, for</t>
  </si>
  <si>
    <t>pineapples. For</t>
  </si>
  <si>
    <t>Studies of Cougar Population Density
| Study authors      | Location                   | Methods                    | Study area (square kilometers) | Maximum density (cougars per 100 square kilometers) |
|--------------------|----------------------------|----------------------------|-------------------------------|-----------------------------------------------------|
| Linda L. Sweanor et al. | New Mexico (United States) | radio-collar tracking      | 2,059                         | 2.00                                                |
| Gregory A. Davidson et al. | Oregon (United States)   | scat-detecting dogs        | 1,225                         | 5.50                                                |
| A.J. Noss et al.   | Bolivia                    | regular camera trapping    | 215                           | 7.99                                                |
| David M. Choate et al. | Utah (United States)      | helicopter surveying       | 1,300                         | 10.24                                               |</t>
  </si>
  <si>
    <t>Which choice most effectively uses data from the table to complete the example?</t>
  </si>
  <si>
    <t>radio-collar tracking is impractical outside of New Mexico.</t>
  </si>
  <si>
    <t>radio-collar tracking underestimates the density of cougars.</t>
  </si>
  <si>
    <t>helicopter surveying underestimates the density of cougars.</t>
  </si>
  <si>
    <t>It's tempting to think that the comic strips Jump Start and Wee Pals have the same main purpose --- to amuse --- because both feature humorous situations. _____ Wee Pals focuses just as much on challenging readers with sociopolitical commentary as it does on making them laugh.</t>
  </si>
  <si>
    <t>helicopter surveying is more common in Utah than the use of radio-collar tracking is.</t>
  </si>
  <si>
    <t>Likewise,</t>
  </si>
  <si>
    <t>Next,</t>
  </si>
  <si>
    <t>In reality,</t>
  </si>
  <si>
    <t>In other words,</t>
  </si>
  <si>
    <t>Comics</t>
  </si>
  <si>
    <t>The traditional Puerto Rican dish mofongo, characterized broadly by its base of mashed plantains, is often ____ in its preparation and serving style. Coastal families typically serve it with fresh-caught octopus and shrimp, mountain families tend to prepare it with chicharrones, and restaurant chefs in San Juan explore innovations like topping the dish with guarapo (juice from sugarcane).</t>
  </si>
  <si>
    <t>Karel Capek's 1920 play R.U.R. (Rossum's Universal Robots), in which artificial workers overthrow their masters, left an indelible mark on the science fiction genre, and the English language, by introducing the term "robot" (derived from the Czech word robota, meaning "indentured labor" or "drudgery"). _____ Capek's play also contributed to a venerable literary and mythological tradition: using artificial beings as mirrors and foils for humanity</t>
  </si>
  <si>
    <t>Despite its creation of such an iconic trope,</t>
  </si>
  <si>
    <t>By achieving such a lofty goal,</t>
  </si>
  <si>
    <r>
      <rPr>
        <rFont val="Arial"/>
        <i val="0"/>
        <color rgb="FF000000"/>
        <sz val="10.0"/>
      </rPr>
      <t>Studies of the population density of cougars (</t>
    </r>
    <r>
      <rPr>
        <rFont val="Arial"/>
        <i/>
        <color rgb="FF000000"/>
        <sz val="10.0"/>
      </rPr>
      <t>Puma concolor</t>
    </r>
    <r>
      <rPr>
        <rFont val="Arial"/>
        <i val="0"/>
        <color rgb="FF000000"/>
        <sz val="10.0"/>
      </rPr>
      <t>) have yielded a range of results, which may in part reflect differences in the effectiveness of the methods that researchers have used in their studies. For example, the difference between the maximum population density reported by Linda L. Sweanor et al. and that reported by David M. Choate et al. might be artificially large if the use of</t>
    </r>
  </si>
  <si>
    <t>which choice completes the text with the most logical option?</t>
  </si>
  <si>
    <t>overly large sampling areas</t>
  </si>
  <si>
    <t>disparate data collection methods</t>
  </si>
  <si>
    <t>similar study locations</t>
  </si>
  <si>
    <t>frequent observational errors</t>
  </si>
  <si>
    <t>While researching a topic, a student has taken the following notes:
- The Expedition of Humphry Clinker (1771) is an epistolary novel by English author Tobias Smollett.
- Epistolary novels are novels written primarily as a series of fictional documents.
- These documents can be letters, journal entries, newspaper clippings, and more.
- The Expedition of Humphry Clinker consists primarily of letters.
- The letters are sent between four family members, their maid, and a young man.</t>
  </si>
  <si>
    <t>The student wants to define the term "epistolary novel." Which choice most effectively uses relevant information from the notes to accomplish this goal?</t>
  </si>
  <si>
    <t>Tobias Smollett's novel The Expedition of Humphry Clinker was published in 1771 and consists primarily of letters sent between four family members, their maid, and a young man.</t>
  </si>
  <si>
    <t>Consisting primarily of letters sent between four family members, their maid, and a young man, Tobias Smollett's The Expedition of Humphry Clinker is an epistolary novel.</t>
  </si>
  <si>
    <r>
      <rPr>
        <rFont val="Arial"/>
        <i val="0"/>
        <color rgb="FF000000"/>
        <sz val="10.0"/>
      </rPr>
      <t xml:space="preserve">The following text is from Charles Chesnutt's 1905 novel The Colonel's Dream. Mr. French and Mr. Kirby work together.
Mr. French, the senior partner, who sat opposite Kirby, was an older man ---a safe guess would have placed him somewhere in the debatable ground between forty and fifty; of a </t>
    </r>
    <r>
      <rPr>
        <rFont val="Arial"/>
        <i/>
        <color rgb="FF000000"/>
        <sz val="10.0"/>
      </rPr>
      <t>good</t>
    </r>
    <r>
      <rPr>
        <rFont val="Arial"/>
        <i val="0"/>
        <color rgb="FF000000"/>
        <sz val="10.0"/>
      </rPr>
      <t xml:space="preserve"> height, as could be seen even from the seated figure, the upper part of which was held erect with the unconscious ease which one associates with military training.</t>
    </r>
  </si>
  <si>
    <t>Published in 1771, The Expedition of Humphry Clinker is an epistolary novel by English author Tobias Smollett.</t>
  </si>
  <si>
    <t>Vegetation has two primary mechanisms by which it reduces air pollution: deposition (absorption of pollutants) and, the more effective, dispersion (dilution of pollutants by ventilation). Accordingly, establishment of green space to reduce major air pollutants such as coarse particulate matter in urban areas receives considerable attention. Research by Zander S. Venter et al. comprised data from air-quality monitoring stations in Belgium, the US state of West Virginia, and thousands of other global locations over a ten-year span, coupled with aerial imagery of those locations from the same period. The researchers ultimately recommended that reducing anthropogenic emissions remain the primary focus of urban air-quality improvement efforts.</t>
  </si>
  <si>
    <t>Which finding from the study, if true, would most directly account for the recommendation by Venter et al.?</t>
  </si>
  <si>
    <t>An epistolary novel is a novel written primarily as a series of fictional documents, such as letters, journal entries, or newspaper clippings</t>
  </si>
  <si>
    <t>The association between levels of coarse particulate matter and green space is strongly negative for locations containing or in close proximity to major cities but becomes insignificant for more rural locations.</t>
  </si>
  <si>
    <t>The association between green space and coarse particulate matter levels is moderately negative overall but becomes slightly negative and sometimes positive when consideration is limited to busy streets with tree cover heavy enough to hinder ventilation.</t>
  </si>
  <si>
    <t>Ambient levels of coarse particulate matter are comparable across locations with comparable local infrastructure (e.g., typical building shape) but vary considerably depending on the predominant type of vegetation present.</t>
  </si>
  <si>
    <t>There is a predictable relationship between a location's typical climate conditions and the efficacy of green spaces in that location, but anomalous local weather events have an outsized effect on deposition and dispersion of coarse particulate matter.</t>
  </si>
  <si>
    <t>While researching a topic, a student has taken the following notes:
- The capital of Jamaica is Kingston..
- The largest city in Jamaica by population is Kingston.
- The capital of Morocco is Rabat.
- The largest city in Morocco by population is Casablanca.</t>
  </si>
  <si>
    <t>The student wants to make a generalization about capital cities. Which choice most effectively uses relevant information from the notes to accomplish this goal?</t>
  </si>
  <si>
    <t>Casablanca and Rabat are both cities in Morocco.</t>
  </si>
  <si>
    <t>A country’s capital city is not always the country’s most populous city.</t>
  </si>
  <si>
    <t>Rabat, not Casablanca, is the capital of Morocco.</t>
  </si>
  <si>
    <t>The capital of Morocco is Rabat, while the capital of Jamaica is Kingston.</t>
  </si>
  <si>
    <t>Northeastern Missouri's Ralls County is among the most rural counties in the United States: the US Census Bureau classified it as 96.1% rural in 2010. Researchers often struggle to recruit residents of counties like Ralls for inclusion in studies. Melissa Valerio and colleagues tested whether an approach called snowball sampling improves recruitment. Working in two rural counties, they recruited a few people (known as 'seeds') with the characteristics desired for a proposed study and asked them to recruit additional participants from their social networks. Though the seeds were given minimal guidance, many more people they recruited had the desired characteristics for the study than would be expected by chance alone, most likely because</t>
  </si>
  <si>
    <t>the characteristics that made the seeds desirable for inclusion in the proposed study may be unknown to some members of the seeds' social networks.</t>
  </si>
  <si>
    <t>most seeds' social networks include some people who do not know one another and who share few characteristics.</t>
  </si>
  <si>
    <t>the seeds' social networks tend to be somewhat smaller than the networks of people who do not live in rural areas.</t>
  </si>
  <si>
    <t>the seeds' social networks include a high proportion of people who share characteristics with the seeds.</t>
  </si>
  <si>
    <t>While researching a topic, a student has taken the following notes:
- The A.M. Turing Award is a prestigious award given by the Association for Computing Machinery (ACM).
- The ACM gives the award for "major contributions of lasting importance to computing."
- It is named after groundbreaking British mathematician Alan Turing.</t>
  </si>
  <si>
    <t>The student wants to make a generalization about the A.M. Turing Award. Which choice most effectively uses relevant information from the notes to accomplish this goal?</t>
  </si>
  <si>
    <t>The A.M. Turing Award, named after mathematician Alan Turing, is given for having a lasting impact on the field of computing.</t>
  </si>
  <si>
    <t>The A.M. Turing Award, named after mathematician Alan Turing, is awarded by the ACM.</t>
  </si>
  <si>
    <t>Alan Turing made contributions to computing.</t>
  </si>
  <si>
    <t>The A.M. Turing Award is a prestigious award.</t>
  </si>
  <si>
    <t>Neuroscientist Artin Arshamian and his team sought to determine what affects a person's perception of an odor as pleasant: is it culture, personal taste, or aspects of human anatomy? The team assessed odor preferences in ten groups of people with different modes of living (urban, agricultural, and hunter-gatherer) including the Maniq people from a small community in Thailand and urban dwellers from a large city in Mexico. The team observed that across cultures, people generally rated odors about the same: ethyl butyrate, which smells like peaches, was typically rated more pleasant than mushroom alcohol, which smells like fungus. The team's study thus undermined the idea that</t>
  </si>
  <si>
    <t>The text describes the main characters in Chloe Zhao's films.</t>
  </si>
  <si>
    <t>a person who perceives certain odors as pleasant will likely perceive the odors as roughly equal in pleasantness.</t>
  </si>
  <si>
    <t>The text provides an overview of Chloe Zhao's directing style.</t>
  </si>
  <si>
    <t>culture significantly influences whether a person perceives an odor as pleasant or unpleasant.</t>
  </si>
  <si>
    <t>people agree in their perception of odors as pleasant or unpleasant regardless of where they live.</t>
  </si>
  <si>
    <t>The text argues for the inclusion of real events in films.</t>
  </si>
  <si>
    <t>- Edgar F. Codd won the award in 1981.</t>
  </si>
  <si>
    <t>personal taste has little influence on whether odors are perceived as pleasant or unpleasant.</t>
  </si>
  <si>
    <t>The text explains the challenges actors face in films.</t>
  </si>
  <si>
    <t>The student wants to explain whom the award is named for and identify one recipient of it. Which choice most effectively uses relevant information from the notes to accomplish this goal?</t>
  </si>
  <si>
    <t>The A.M. Turing Award, which is named for British mathematician Alan Turing, was given to Edgar F. Codd in 1981.</t>
  </si>
  <si>
    <t>In 1981, Edgar F. Codd won the A.M. Turing Award, which is given for "major contributions of lasting importance to computing."</t>
  </si>
  <si>
    <t>It was in 1981 that Edgar F. Codd won the A.M. Turing Award.</t>
  </si>
  <si>
    <t>- Albert Einstein's theory of general relativity allows for potential shortcuts through spacetime.
- These hypothetical spacetime tunnels are known as wormholes.
- For matter to travel through a wormhole, it would need to have negative energy density.
- Negative energy density means that the matter would have less energy than empty space.
- Such matter has not been shown to exist.</t>
  </si>
  <si>
    <t>The student wants to acknowledge a complication affecting travel through wormholes. Which choice most effectively uses relevant information from the notes to accomplish this goal?</t>
  </si>
  <si>
    <r>
      <rPr>
        <rFont val="Arial"/>
        <i val="0"/>
        <color rgb="FF000000"/>
        <sz val="10.0"/>
      </rPr>
      <t>A soil's microbial community (the microbial taxa present in their relative abundances) is known to affect plants' cyclical processes. Corrine Walsh and colleagues hypothesized that microbial communities could also affect plants' flavor chemistry, including volatiles and secondary metabolites like glucosinolates. Recognizing that soil moisture varies by location in the wild and could influence plants' chemistry, Walsh et al. introduced distinct microbial communities to individually potted mustard plants (</t>
    </r>
    <r>
      <rPr>
        <rFont val="Arial"/>
        <i/>
        <color rgb="FF000000"/>
        <sz val="10.0"/>
      </rPr>
      <t>Brassica juncea</t>
    </r>
    <r>
      <rPr>
        <rFont val="Arial"/>
        <i val="0"/>
        <color rgb="FF000000"/>
        <sz val="10.0"/>
      </rPr>
      <t>) growing in a controlled environment, then measured the plants' glucosinolates, like butenyl and allyl (the most prominent), that create the spicy and bitter flavors in mustard. This method thus enabled the researchers to ________</t>
    </r>
  </si>
  <si>
    <t>The hypothetical tunnels known as wormholes would be potential shortcuts through spacetime were it not for one complication: they have less energy than empty space.</t>
  </si>
  <si>
    <t>Einstein's theory of general relativity allows for potential spacetime shortcuts called wormholes but does not explain how matter with negative energy density could travel through them</t>
  </si>
  <si>
    <t>For matter to travel through a wormhole, the matter would need to have less energy than empty space; such matter has not been shown to exist.</t>
  </si>
  <si>
    <t>For wormholes to be possible, according to Einstein's theory of general relativity, they would have to allow for potential shortcuts through spacetime</t>
  </si>
  <si>
    <t>Recitals by Catherine Kautsky, known for her virtuosity on the piano, are rightly described as _____ given that they can feature not just the performance of a musical piece but also a lecture on the piece's composer and a slideshow contextualizing the time in which it was composed.
Which choice completes the text with the most logical and precise word or phrase?</t>
  </si>
  <si>
    <t>circumscribed</t>
  </si>
  <si>
    <t>demonstrate that differences in plants' flavor chemistry result from differences in the level of glucosinolates regardless of the soil moisture.</t>
  </si>
  <si>
    <t>comprehensive</t>
  </si>
  <si>
    <t>redundant</t>
  </si>
  <si>
    <t>re-create the conditions of studies conducted in the wild that found links between soil microbial communities and levels of butenyl in mustard plants.</t>
  </si>
  <si>
    <t>categorized</t>
  </si>
  <si>
    <t>disentangle the influence of microbial communities on soil moisture from their influence on glucosinolate content in the plants.</t>
  </si>
  <si>
    <t>distinguish variations in glucosinolates due to differences in microbial communities from those that in a natural setting may be due to differences in soil moisture.</t>
  </si>
  <si>
    <t>Among saltwater fish species, there is a clear association between habitat latitude and morphological variety. While tropical species are _____ deep-bodied physical forms (body shapes that are laterally compressed but vertically extended, polar and temperate species are highly dispersed across the morphological spectrum.</t>
  </si>
  <si>
    <t>habituated to</t>
  </si>
  <si>
    <t>Scientists collected information about brown bears in Katmai National Park in Alaska. This information included each bear's sex, age, and approximate weight. For the bear with identification number 122, for example, the scientists recorded that the bear was _____</t>
  </si>
  <si>
    <t>authenticated by</t>
  </si>
  <si>
    <t>concentrated among</t>
  </si>
  <si>
    <t>contemporary with</t>
  </si>
  <si>
    <t>Louisiana resident P.B.S. Pinchback, one of the nearly two thousand African Americans elected to public office during the decade that followed the Civil War, ______ his term as a member of the state senate in 1868.</t>
  </si>
  <si>
    <t>to begin</t>
  </si>
  <si>
    <t>began</t>
  </si>
  <si>
    <t>beginning</t>
  </si>
  <si>
    <t>having begun</t>
  </si>
  <si>
    <r>
      <rPr>
        <rFont val="Arial"/>
        <i val="0"/>
        <color rgb="FF000000"/>
        <sz val="10.0"/>
      </rPr>
      <t xml:space="preserve">The following text is adapted from Edith Wharton's 1911 novella Ethan Frome. The narrator has asked the woman he rents a room from about Ethan Frome, a town resident he encountered recently.
Her mind was a store-house of innocuous anecdote and any question about her acquaintances brought forth a volume of detail; but on the subject of Ethan Frome I found her unexpectedly reticent. There was no hint of disapproval in her </t>
    </r>
    <r>
      <rPr>
        <rFont val="Arial"/>
        <i/>
        <color rgb="FF000000"/>
        <sz val="10.0"/>
      </rPr>
      <t>reserve</t>
    </r>
    <r>
      <rPr>
        <rFont val="Arial"/>
        <i val="0"/>
        <color rgb="FF000000"/>
        <sz val="10.0"/>
      </rPr>
      <t>; I merely felt in her an insurmountable reluctance to speak of him.</t>
    </r>
  </si>
  <si>
    <t>Great Expectations is an 1861 novel by Charles Dickens. The narrator describes his uncle, Joe Gargery, as being both powerful and tender: _____</t>
  </si>
  <si>
    <t>As used in the text, what does the word "reserve" most nearly mean?</t>
  </si>
  <si>
    <t>Constraint</t>
  </si>
  <si>
    <t>Modesty</t>
  </si>
  <si>
    <t>Composure</t>
  </si>
  <si>
    <t>Occurring in the constellation Perseus, 240 million light-years from Earth, SN 2006gy was a ________ explosion of a massive star, which blasts large amounts of radiation, heavy elements, and debris into space—that was first detected by American astronomer Robert Quimby.</t>
  </si>
  <si>
    <t>Misgiving</t>
  </si>
  <si>
    <t>supernova: the</t>
  </si>
  <si>
    <t>supernova, the</t>
  </si>
  <si>
    <t>supernova. The</t>
  </si>
  <si>
    <t>supernova-the</t>
  </si>
  <si>
    <t>The work of Tobias Gerstenberg et al. on tracking eye movements supports a theory that people envision _____ scenarios when making causal judgments: when subjects were asked to look at two colliding billiard balls and judge whether one caused or prevented the other's movement through a gate, their eyes looked at where the target ball would have gone if the ball that altered its path did not exist.</t>
  </si>
  <si>
    <t>analogical</t>
  </si>
  <si>
    <t>counterfactual</t>
  </si>
  <si>
    <r>
      <rPr>
        <rFont val="Arial"/>
        <i/>
        <color rgb="FF000000"/>
        <sz val="10.0"/>
      </rPr>
      <t>Aftermath the Kings and Their Biographies</t>
    </r>
    <r>
      <rPr>
        <rFont val="Arial"/>
        <i val="0"/>
        <color rgb="FF000000"/>
        <sz val="10.0"/>
      </rPr>
      <t xml:space="preserve"> is one of the hundreds of thousands of manuscripts that have survived from roughly the sixteenth century to the present _______ being passed down through private libraries in the city of Timbuktu, Mali. Many of these manuscripts can be found at the Al-Imam Essayouti Library.</t>
    </r>
  </si>
  <si>
    <t>retrospective</t>
  </si>
  <si>
    <t>ambivalent</t>
  </si>
  <si>
    <t>day. By</t>
  </si>
  <si>
    <t>day by</t>
  </si>
  <si>
    <t>day by,</t>
  </si>
  <si>
    <t>day; by</t>
  </si>
  <si>
    <t>%GRAPH% Fish Population in a Taiwanese Tide Pool, January 2001 to October 2001
Lin-Tai Ho and colleagues counted fish in a tide pool in Taiwan at several times during the year and found that some species had a significantly higher maximum population count than others. For example, the highest count for the combtooth blenny was 62 individuals in January of 2001, whereas the highest count for the striated rockskipper was _____</t>
  </si>
  <si>
    <r>
      <rPr>
        <rFont val="Arial"/>
        <color rgb="FF000000"/>
        <sz val="10.0"/>
      </rPr>
      <t xml:space="preserve">On receiving good news, </t>
    </r>
    <r>
      <rPr>
        <rFont val="Arial"/>
        <color rgb="FF000000"/>
        <sz val="10.0"/>
        <u/>
      </rPr>
      <t>people's first instinct might be to immediately share it</t>
    </r>
    <r>
      <rPr>
        <rFont val="Arial"/>
        <color rgb="FF000000"/>
        <sz val="10.0"/>
      </rPr>
      <t>, but a recent experiment suggests that keeping it a secret can be psychologically beneficial. Study participants were randomly assigned to reflect on an experience in which they either shared good news or kept it to themselves. On average, those who kept good news secret reported feeling more energized by the experience than participants who shared did, perhaps, as the researchers suggest, because the choice to savor good news is usually a personal one and autonomous motivation is linked with feelings of vitality.</t>
    </r>
  </si>
  <si>
    <t>It indicates a reason why skepticism about the conclusions of the psychological study mentioned in the text is likely warranted.</t>
  </si>
  <si>
    <r>
      <rPr>
        <rFont val="Arial"/>
        <i val="0"/>
        <color rgb="FF000000"/>
        <sz val="10.0"/>
      </rPr>
      <t xml:space="preserve">Taking a structuralist approach to analyzing Tomas Rivera's novel </t>
    </r>
    <r>
      <rPr>
        <rFont val="Arial"/>
        <i/>
        <color rgb="FF000000"/>
        <sz val="10.0"/>
      </rPr>
      <t>And the Earth Did Not Devour Him</t>
    </r>
    <r>
      <rPr>
        <rFont val="Arial"/>
        <i val="0"/>
        <color rgb="FF000000"/>
        <sz val="10.0"/>
      </rPr>
      <t xml:space="preserve"> would lead a critic to focus on the linguistic conventions inherent in the novel. On the other hand, a New Historicist analysis _________ on historical context and its relationship to power structures might yield a radically different interpretation of Rivera's novel.</t>
    </r>
  </si>
  <si>
    <t>It reports the main conclusion of a study into a social phenomenon whose methodology is critiqued in the text.</t>
  </si>
  <si>
    <t>It presents a scenario whose psychological impact was investigated in the study summarized in the text.</t>
  </si>
  <si>
    <t>would be focusing</t>
  </si>
  <si>
    <t>It provides an observation about human behavior that was validated by the experiment summarized in the text.</t>
  </si>
  <si>
    <r>
      <rPr>
        <rFont val="Arial"/>
        <i val="0"/>
        <color rgb="FF000000"/>
        <sz val="10.0"/>
      </rPr>
      <t xml:space="preserve">The following text is from Charles Chesnutt's 1905 novel The Colonel's Dream. Mr. French and Mr. Kirby work together.
Mr. French, the senior partner, who sat opposite Kirby, was an older man ---a safe guess would have placed him somewhere in the debatable ground between forty and fifty; of a </t>
    </r>
    <r>
      <rPr>
        <rFont val="Arial"/>
        <i/>
        <color rgb="FF000000"/>
        <sz val="10.0"/>
      </rPr>
      <t>good</t>
    </r>
    <r>
      <rPr>
        <rFont val="Arial"/>
        <i val="0"/>
        <color rgb="FF000000"/>
        <sz val="10.0"/>
      </rPr>
      <t xml:space="preserve"> height, as could be seen even from the seated figure, the upper part of which was held erect with the unconscious ease which one associates with military training.</t>
    </r>
  </si>
  <si>
    <t>would focus</t>
  </si>
  <si>
    <t>focuses</t>
  </si>
  <si>
    <t>focusing</t>
  </si>
  <si>
    <t>Text1
For decades, ornithologists assumed that if they saw a singing winter wren-a bird species found in temperate North America-they must be observing a male trying to attract a mate or claim territory. As Peter J.B. Slater and Nigel I. Mann have emphasized, however, a similar assumption can't be made about birds in the tropics, where females sing as often as males do. Slater and Mann call for more research on this discrepancy between tropical and temperate female birdsong.
Text2
Recent evidence shows that a female winter wren is as capable of song as a male is. In fact, female birdsong is more common among temperate species than currently assumed, claim Evangeline Rose and colleagues. These female songbirds sing less frequently than males do, and in duller tones, making it "easy for researchers to miss the quiet and hidden females and focus on the loud and colorful males," says Rose.</t>
  </si>
  <si>
    <t>Based on the texts, how would Rose and colleagues (Text 2) most likely respond to the assertion by Slater and Mann (Text 1) about the different prevalence of female birdsong in temperate and tropical areas?</t>
  </si>
  <si>
    <t>The neurotechnology company Neuros Medical is working on an exciting new technology: a process that uses bioelectric signals to target sensory nerves to help relieve pain. Neuros Medical's technology, alongside other such neuromodulation technologies that function by stimulating nervous system structures, _________ the way for future advancements in neurotechnology.</t>
  </si>
  <si>
    <t>They would concede that the geographic difference in prevalence is real but argue that the frequency with which male tropical birds sing has been overstated by previous researchers</t>
  </si>
  <si>
    <t>They would caution that the seeming difference in prevalence may be an artifact of researchers' tendency to study birdsong among temperate species more frequently than among tropical species.</t>
  </si>
  <si>
    <t>paving</t>
  </si>
  <si>
    <t>They would raise the possibility that the difference in prevalence may be due to differences in the timing of the mating season among temperate and tropical bird species.</t>
  </si>
  <si>
    <t>is paving</t>
  </si>
  <si>
    <t>are paving</t>
  </si>
  <si>
    <t>They would argue that the apparent difference in prevalence may partly reflect a difference in the ease with which female birdsong and male birdsong can be detected</t>
  </si>
  <si>
    <t>have paved</t>
  </si>
  <si>
    <t>The legacy of the Spanish Empire, which once controlled portions of five continents, is evident in Spanish-speaking Paraguay, one of many places that reveal their imperial history in their language. Contrast Paraguay with the Netherlands, which ceased to be part of the empire in ________ the latter's connection to the empire is so attenuated that Spanish is seldom spoken there today.</t>
  </si>
  <si>
    <t>In separate studies, Yanbo Xiao and colleagues and Xinhua He and colleagues examined whether plants transfer nutrients to one another using a common mycorrhizal network (CMN) --- a lattice of fungal strands in the soil. Xiao and colleagues excluded all pathways other than the CMN by using barriers to keep the plants' root systems separate while allowing mycorrhizal strands through --- a crucial step He and colleagues' study did not take.
Text2
Kiao and colleagues took the necessary precaution of separating the plants' root systems thereby excluding root-to-root transmission). However, any barrier used must allow the thread-like hyphae of a CMN to pass through, and this permeability would also allow liquids through. Thus, the researchers' experimental design cannot ensure that any nutrient transfer observed can be attributed to a CMN and not to some other pathway.</t>
  </si>
  <si>
    <t>Based on the texts, how would the author of Text 2 most likely respond to the characterization of Xiao and colleagues' study in Text 1?</t>
  </si>
  <si>
    <t>1648,</t>
  </si>
  <si>
    <t>By arguing that the author of Text 1 has conflated the method used by Xiao and colleagues with that used by He and colleagues</t>
  </si>
  <si>
    <t>By claiming that the author of Text 1 has misrepresented what Xiao and colleagues were trying to achieve with their experimental design</t>
  </si>
  <si>
    <t>1648:</t>
  </si>
  <si>
    <t>In the early 1970s, art historian Michael Baxandall created an approach to viewing art called the "period eye," which explains how to look at art through the lens of its historical period. Baxandall argued that it is critical that art historians understand and communicate the original social and cultural contexts of older works of art so that it is clear what the artists intended and how the pieces would have been understood by their original viewers.</t>
  </si>
  <si>
    <t>1648 and</t>
  </si>
  <si>
    <t>By asserting that the author of Text 1 has overstated the effectiveness of the method that Xiao and colleagues used</t>
  </si>
  <si>
    <t>By pointing out that the author of Text 1 has overlooked studies that reported results that contradict those reported by xiao and colleagues</t>
  </si>
  <si>
    <t>Since it was first introduced, Baxandall's period eye has significantly influenced the practice of art history.</t>
  </si>
  <si>
    <t>To determine the approximate age of wooden tools excavated from an archaeological site in Spain, archaeologist Joseba Rios-Garaizar and colleagues collected samples of sediments surrounding the tools; these samples were then analyzed using a method known as optically stimulated luminescence (OSL) dating. _____ OSL dating indicated that the tools were between 50,000 and 137,000 years old.</t>
  </si>
  <si>
    <t>Since 2012, a consortium of research institutions has released an annual report that ranks countries by their populations' well-being, which the authors of the report derive using data from a globally administered survey of respondents' self-assessed levels of happiness. However, some other scholars caution that this approach reflects a tendentious understanding of the relationship between these two metrics. For example, studies have revealed a tendency among people in some non-Western countries to regard individual happiness as less important to their well-being than other ideals (e.g, a sense of harmony or balance).</t>
  </si>
  <si>
    <t>Similarly,</t>
  </si>
  <si>
    <t>Ultimately,</t>
  </si>
  <si>
    <t>Based on the text, what is a potential weakness of the annual report issued by the consortium of research institutions?</t>
  </si>
  <si>
    <t>In addition,</t>
  </si>
  <si>
    <t>It may not adequately account for cultural variations in the value attached to a particular concept.</t>
  </si>
  <si>
    <t>By comparison,</t>
  </si>
  <si>
    <t>It relies on survey responses from participants who may not be representative of their countries' cultural norms</t>
  </si>
  <si>
    <t>It overlooks how philosophies regarding a particular concept have evolved over time.</t>
  </si>
  <si>
    <t>It includes survey data from a wide range of Western countries but only from a narrow set of non-Western countries</t>
  </si>
  <si>
    <t>Architect Victor Gruen, the designer of Indiana's Woodmar Plaza shopping mall, conceived of the mall as an indoor version of the European town square, a communal space that encouraged visitors to stroll and linger. ________ he designed Woodmar Plaza with long, pedestrian-friendly promenades and ample seating areas clustered around fountains and greenery.</t>
  </si>
  <si>
    <t>Regardless,</t>
  </si>
  <si>
    <t>While no one doubts that politicians are influenced by a variety of incentives, it is generally agreed that they seek to support policies their constituents favor --- after all, they risk losing office if they do not. Direct contact with constituents via such means as public events and emails from voters is a</t>
  </si>
  <si>
    <t>Accordingly,</t>
  </si>
  <si>
    <t>Last-mile delivery refers to the final step in delivering packages to customers --- and this final step can be very difficult. Delivery companies are contending with the increasing popularity of next-day delivery and with complex and inefficient delivery routes, resulting in a growing bottleneck of packages in the last-mile delivery stage. These companies have been experimenting with innovative solutions in last-mile delivery, including autonomous delivery robots (robots that deliver parcels from a van). Unfortunately, many of these innovations create new obstacles (e.g., robots travel relatively slowly since they must navigate many ground-level obstacles) and are not ready for full-scale implementation. Asa result, delivery companies will likely _____</t>
  </si>
  <si>
    <t>In his meta-analysis of recent studies of animal information cascades, Joseph S. McCormick presents several examples of adaptive cascades (i.e., information transfers that benefit a collective), including one that involves humpback whales. However, not all cascades are beneficial. ________ his meta-analysis cites one study that described how black-throated blue warblers followed flock-mates' choice of habitat even when that habitat lacked adequate vegetative cover.</t>
  </si>
  <si>
    <t>A major source of politicians' beliefs about their constituents' views, but it is susceptible to a selection effect. There is little reason to presume that individuals with the time, resources, and strength of feeling to directly engage with their representatives are themselves broadly representative.</t>
  </si>
  <si>
    <t>Instead,</t>
  </si>
  <si>
    <t>In response,</t>
  </si>
  <si>
    <t>Which choice best states the main idea of the text?</t>
  </si>
  <si>
    <t>Indeed,</t>
  </si>
  <si>
    <t>Politicians aim to advocate for their constituents' policy preferences, but politicians' understanding of those preferences may be skewed.</t>
  </si>
  <si>
    <t>People who are likely to contact their elected representatives do not tend to be representative of politicians' constituents generally.</t>
  </si>
  <si>
    <t>Direct contact with constituents shapes politicians' beliefs about policies their constituents favor, and they try to act in accordance with those beliefs.</t>
  </si>
  <si>
    <t>Although politicians have an incentive to act in accordance with their constituents' views, that is not the only incentive shaping their actions.</t>
  </si>
  <si>
    <t>The olona shrub is one of many forest plant species native to Oahu (a Hawaiian island) that are at risk of extinction in the wild. Ecologists say that fruit-eating birds help support these species' population numbers by dropping seeds from the plants' fruits to different spots where new plants can grow. The birds native to Oahu that used to do this have all gone extinct over time. However, the common waxbill and other fruit-eating bird species brought to the island in the last 150 years have been found to spread plant seeds. Based on this finding, some ecologists suggest that olona shrubs and other forest plants native to Dahu _____</t>
  </si>
  <si>
    <t>Within higher education, studying philosophy requires that students be conversant with the field's foundational texts and historical figures. By contrast, doing philosophy within or beyond the academy demands the creative, self-directed application of acquired expertise to enduring questions about the nature of existence and knowledge. While both approaches engage with influential figures, those who do philosophy treat such figures as vital interlocutors who facilitate new insights rather than as ossified authorities who, though relevant to the present, primarily represent the discipline's past.</t>
  </si>
  <si>
    <t>Based on the text, which choice best describes the relationship between doing philosophy and studying philosophy?</t>
  </si>
  <si>
    <t>Doing philosophy represents a departure from the norms that govern scholarly inquiry, whereas studying philosophy requires conformation to these norms.</t>
  </si>
  <si>
    <r>
      <rPr>
        <rFont val="Arial"/>
        <i val="0"/>
        <color rgb="FF000000"/>
        <sz val="10.0"/>
      </rPr>
      <t xml:space="preserve">As can be seen in the case of </t>
    </r>
    <r>
      <rPr>
        <rFont val="Arial"/>
        <i/>
        <color rgb="FF000000"/>
        <sz val="10.0"/>
      </rPr>
      <t>The Dial</t>
    </r>
    <r>
      <rPr>
        <rFont val="Arial"/>
        <i val="0"/>
        <color rgb="FF000000"/>
        <sz val="10.0"/>
      </rPr>
      <t xml:space="preserve">, a New York magazine published from July 1920 to July 1929, some small periodicals influential in the development of the modernist movement have been explored in depth by scholars. The London magazine </t>
    </r>
    <r>
      <rPr>
        <rFont val="Arial"/>
        <i/>
        <color rgb="FF000000"/>
        <sz val="10.0"/>
      </rPr>
      <t>Voices</t>
    </r>
    <r>
      <rPr>
        <rFont val="Arial"/>
        <i val="0"/>
        <color rgb="FF000000"/>
        <sz val="10.0"/>
      </rPr>
      <t xml:space="preserve"> (1919), ______ remains among those modernist periodicals "of interest and significance about which relatively little is known," according to scholars Peter Brooker and Andrew Thacker.</t>
    </r>
  </si>
  <si>
    <t>Doing philosophy involves developing novel ideas through imagined dialogue with past philosophers based on knowledge of those philosophers' views acquired by studying philosophy.</t>
  </si>
  <si>
    <t>Doing philosophy helps students formulate concrete solutions to practical issues, whereas studying philosophy prioritizes engagement with historical arguments in the field.</t>
  </si>
  <si>
    <t>likewise,</t>
  </si>
  <si>
    <t>Doing philosophy requires students to challenge the ideas articulated by past philosophers, especially when these ideas are broadly accepted by other people studying philosophy.</t>
  </si>
  <si>
    <t>moreover,</t>
  </si>
  <si>
    <t>though,</t>
  </si>
  <si>
    <t>for instance,</t>
  </si>
  <si>
    <t>Researchers have identified over eighty gestures made by nonhuman great apes, such as clapping and rocking from side to side, that appear to convey information and that seem to be biologically inherited. Kirsty E. Graham and Catherine Hobaiter hypothesized that humans may be able to interpret great ape gestures, either through an evolutionary inheritance or as part of more general human cognitive abilities. The researchers tested this hypothesis by enlisting participants in an online game in which they had to correctly identify the meanings of ape gestures seen in videos. Though participants achieved some success, it is unclear whether they sometimes did so by making use of additional context provided by the images or sounds in the video recordings.</t>
  </si>
  <si>
    <t>Which statement, if true, would most strongly support the underlined claim?</t>
  </si>
  <si>
    <t>Participants correctly identified gestures at the same rate for videos in which the apes made sounds in addition to gestures and videos in which the apes were silent</t>
  </si>
  <si>
    <t>Researchers used anonymized location data from the US and Cote d'Ivoire to document people's daily patterns of mobility, using these results to test the efficacy of the researchers' predictive computer model. In each country, unidirectional cycles among two, three, or four locations were empirically the most common pattern types; the graph shows each of these pattern types as a proportion of all pattern instances found for that country (e.g., the measured value for CI 3 in the graph, 0.12, indicates that the three-location pattern constituted 12% of all pattern instances in the Cote d'Ivoire data). The researchers ran their model twice under different assumptions, concluding that emphasizing the salience of local population density over personal preferences generally yielded the best results.</t>
  </si>
  <si>
    <t>Which choice most effectively uses data from the graph to illustrate the researchers' conclusion?</t>
  </si>
  <si>
    <t>Under the assumption that density is more salient than preferences, the US 2 and CI 2 proportions are approximately 0.65 and 0.85, respectively significantly higher than the values predicted under the other assumption and thus farther than those predictions from the measured values.</t>
  </si>
  <si>
    <t>Across brown bears-omnivores with high dietary plasticity-there is wide variety in dietary mix, which may reflect genetics, local resource availability, or social learning (cubs stay with their mothers for two years or more). Evaluating these possibilities, Anne Hertel et al. analyzed 30 years of data on trophic position (indicative of dietary mix) for female brown bears. After separation, daughters, who tended to settle near their mothers, occupied the same trophic positions as their mothers for two years, but the correlation disappeared by year five. Trophic correlation with unrelated individuals in similar habitats was modest, while habitat-independent correlation with nonmaternal relatives (e.g., cousins) was no different than with unrelated individuals. These findings suggest that _____</t>
  </si>
  <si>
    <t>social learning and resource fluctuations may both play a role in dietary mix among females, at least temporarily, though genetic factors appear to make a significant contribution as well.</t>
  </si>
  <si>
    <t>female dietary mix is best understood as changeable and contingent on fluctuating environmental conditions rather than as the result of social learning or genetic factors.</t>
  </si>
  <si>
    <t>dietary mix among females may reflect a social learning effect that eventually diminishes, though environmental constraints cannot be ruled out as a contributing factor.</t>
  </si>
  <si>
    <t>growing dissimilarity between mothers and their daughters with regard to dietary mix may reflect changes in the resources available in maternal habitats, though social learning could also contribute to the trend.</t>
  </si>
  <si>
    <t>The advent of online streaming has led many music listeners to drift away from ownership of music (through downloads or through physical media such as compact discs) and toward the streaming services YouTube Music and Jango, among others. Datta et al. studied the impact of this change on the variety of music that listeners consume. The researchers reasoned that the ownership model of music assigns a cost per song to acquiring a variety of music, while streaming services typically charge a flat fee for access to an entire music catalog, making variety free, which suggests that _____</t>
  </si>
  <si>
    <t>listeners who use streaming services would be more likely to give physical copies of music as gifts to others than to purchase physical copies for themselves</t>
  </si>
  <si>
    <t>music publishers who choose to forgo releasing music on physical media are likely to see no change in revenue</t>
  </si>
  <si>
    <t>the music choices of listeners who use streaming services would likely be more varied than those of listeners who do not use streaming services</t>
  </si>
  <si>
    <t>listeners who prefer to purchase compact discs rather than use a service such as YouTube Music or Jango would tend to listen to older music.</t>
  </si>
  <si>
    <t>Some farms are expanding their mix of crop species in an effort to reduce nonagricultural biodiversity loss caused by increasing agricultural specialization, in which farmers focus on a limited range of crops or livestock species to improve yields and, thus, their revenues. To study the joint environmental and economic effects of diversification practices (which can encompass improved soil and water management as well as increased variety in crops and livestock), Laura Vang Rasmussen and team analyzed data from 2,655 farms in eleven countries. They found that using multiple diversification practices concurrently had greater potential for improving both nonagricultural biodiversity and yields than using a single strategy did. Their finding suggests that _____</t>
  </si>
  <si>
    <t>farmers who are reluctant to switch from specializing in a single crop to cultivating a variety of crops incorrectly assume that any improvements in yields will be insufficient to offset the costs associated with making that transition.</t>
  </si>
  <si>
    <t>farmers who focus primarily on increasing crop variety without engaging in other diversification practices will likely help reverse nonagricultural biodiversity loss, but their farms will produce smaller yields than if they had continued to focus on developing a single crop.</t>
  </si>
  <si>
    <t>originates and many</t>
  </si>
  <si>
    <t>agricultural diversification doesn't inherently involve a trade-off between environmental and economic considerations, but farmers' chances of avoiding that outcome may be diminished if they focus on crop variety to the exclusion of other diversification practices.</t>
  </si>
  <si>
    <t>it is more expensive to increase crop variety while simultaneously implementing other diversification practices than it is to increase crop variety and then subsequently implement other diversification practices.</t>
  </si>
  <si>
    <t>A bias toward studying birds and mammals over fish was one of the many shortcomings researcher Sonia Llorente-Culebras and her team _____ analyzing nearly 400 biodiversity studies from around the globe.</t>
  </si>
  <si>
    <t>discovered. While</t>
  </si>
  <si>
    <t>discovered, while</t>
  </si>
  <si>
    <t>discovered while</t>
  </si>
  <si>
    <t>discovered: while</t>
  </si>
  <si>
    <t>Jane Austen's Northanger Abbey (1818) is considered a satire of another novel popular at the time: Ann Radcliffe's The Mysteries of Udolpho (1794), which Austen's heroine, Catherine Morland, is depicted reading. However, the similarity of the _____ experiences --- the predicaments of both Catherine and Radcliffe's Emily St. Aubert result from men's greed --- suggests that underlying the satire is a social critique.</t>
  </si>
  <si>
    <t>novel's protagonist's</t>
  </si>
  <si>
    <t>novels' protagonists</t>
  </si>
  <si>
    <t>novels' protagonists'</t>
  </si>
  <si>
    <t>novel's protagonists'</t>
  </si>
  <si>
    <t>As part of his effort to identify Bronze Age pathways across Sicily, archaeologist Dario Calderone created three-dimensional digital models of the terrain via aerial photogrammetry. The drone _____ the landscape, which included archaeological sites from as far back as the Early Neolithic Period, flew in a pattern that ensured 60 percent forward overlap and 20 percent side overlap between individual images.</t>
  </si>
  <si>
    <t>photographs</t>
  </si>
  <si>
    <t>photographing</t>
  </si>
  <si>
    <t>was photographing</t>
  </si>
  <si>
    <t>photographed</t>
  </si>
  <si>
    <t>Before the ratification of the 19th Amendment in 1920, many US territories extended voting rights to women, in part to spur westward migration that would help these territories meet population thresholds for statehood. The Territory of Wyoming approved women's suffrage in 1869 before attaining statehood in _____ while eastern states, lacking the same incentive, did not follow suit until after the turn of the century.</t>
  </si>
  <si>
    <t>1890, for example,</t>
  </si>
  <si>
    <t>1890, for example:</t>
  </si>
  <si>
    <t>1890, for example;</t>
  </si>
  <si>
    <t>1890; for example,</t>
  </si>
  <si>
    <t>In economics, soybeans are considered a commodity because they are essentially interchangeable, "essentially" being a word that admits a degree of latitude. In 2021, researchers J. Shorish, M. Stephenson, and M. Zargham devised a mathematical model of fungibility (interchangeability) that would account for such variation. Distinguishing"exactly the same" and "nearly the same" commodities --- whether crops, lumber, or precious metals --- among their primary aims.</t>
  </si>
  <si>
    <t>was</t>
  </si>
  <si>
    <t>having been</t>
  </si>
  <si>
    <t>Ultimately limited in its lasting influence,</t>
  </si>
  <si>
    <t>Capek's play contributed</t>
  </si>
  <si>
    <t>The legacy of the Spanish Empire, which once controlled portions of five continents, is evident in Spanish-speaking Uruguay, one of many places that reveal their imperial history in their language. Contrast Uruguay with Belgium, which ceased to be part of the empire in _____ the latter's connection to the empire is so attenuated that Spanish is seldom spoken there today.</t>
  </si>
  <si>
    <t>While researching a topic, a student has taken the following notes:
- The Expedition of Humphry Clinker (1771) is an epistolary novel by English author Tobias Smollett.
- Epistolary novels are novels written primarily as a series of fictional documents.
- These documents can be letters, journal entries, newspaper clippings, and more.
- The Expedition of Humphry Clinker consists primarily of letters.
- The letters are sent between four family members, their maid, and a young man.</t>
  </si>
  <si>
    <t>To determine the approximate age of sand engravings excavated from a coastal site in South Africa, archaeologist Charles Helm and colleagues collected samples of sediments surrounding the engravings; these samples were then analyzed using a method known as optically stimulated luminescence (OSL) dating. _____ OSL dating indicated that the engravings were between 129,000 and 149,000 years old.</t>
  </si>
  <si>
    <t>When it was built in the nineteenth century, the Eiffel Tower was criticized --- even protested --- for its unique appearance. _____ the spire-like structure earned not just acceptance but adoration, and its iconic design is now echoed in everything from the Eiffel Tower replica in Lake Buena Vista, Florida, to the Funkturm Berlin in Berlin, Germany.</t>
  </si>
  <si>
    <t>While researching a topic, a student has taken the following notes:
- The capital of Jamaica is Kingston..
- The largest city in Jamaica by population is Kingston.
- The capital of Morocco is Rabat.
- The largest city in Morocco by population is Casablanca.</t>
  </si>
  <si>
    <t>Thus,</t>
  </si>
  <si>
    <t>A country's capital city is not always the country's most populous city.</t>
  </si>
  <si>
    <t>Luminata Ilinca Ignat is a space scientist who works on the James Webb Space Telescope, or JWST. Thanks in part to Ilinca Ignat's contributions, the telescope is now positioned near the Sun-Earth L2 Lagrange point, almost one million miles beyond Earth's orbit. _____ the JWST's predecessor, the Hubble Telescope, is only about 340 miles above Earth's surface.</t>
  </si>
  <si>
    <t>Secondly,</t>
  </si>
  <si>
    <t>Therefore,</t>
  </si>
  <si>
    <t>While researching a topic, a student has taken the following notes:
- The A.M. Turing Award is a prestigious award given by the Association for Computing Machinery (ACM).
- The ACM gives the award for "major contributions of lasting importance to computing."
- It is named after groundbreaking British mathematician Alan Turing.</t>
  </si>
  <si>
    <t>The student wants to identify the primary purpose of the A.M. Turing Award. Which choice most effectively uses relevant information from the notes to accomplish this goal?</t>
  </si>
  <si>
    <t>The A.M. Turing Award is named after groundbreaking British mathematician Alan Turing.</t>
  </si>
  <si>
    <t>The A.M. Turing Award is a prestigious award given by the ACM.</t>
  </si>
  <si>
    <t>The Association for Computing Machinery (ACM) gives the A.M. Turing Award each year.</t>
  </si>
  <si>
    <t>In a given rock formation, Rhaetian rock from 208.5 million years ago might directly abut Lochkovian rock from 419.2 million years ago, with millions of years of material missing in between. _____ time did not stand still during these intervening years; the unaccounted-for sedimentary material was likely removed from the stratigraphic record via erosion and weathering.</t>
  </si>
  <si>
    <t>However,</t>
  </si>
  <si>
    <t>Consequently,</t>
  </si>
  <si>
    <t>N/A</t>
  </si>
  <si>
    <t>In 1981, Edgar F. Codd won the A.M. Turing Award, which is given for "major contributions to lasting importance to computing."</t>
  </si>
  <si>
    <t>As a result,</t>
  </si>
  <si>
    <t>Of course,</t>
  </si>
  <si>
    <t>On the contrary,</t>
  </si>
  <si>
    <t>While researching a topic, a student has taken the following notes:
- Albert Einstein's theory of general relativity allows for potential shortcuts through spacetime.
- These hypothetical spacetime tunnels are known as wormholes.
- For matter to travel through a wormhole, it would need to have negative energy density.
- Negative energy density means that the matter would have less energy than empty space.
- Such matter has not been shown to exist.</t>
  </si>
  <si>
    <t>The Sino-Tibetan language of Loke has only about 7,500 living speakers. Although most Loke speakers live in Nepal, where the language originated, Loke is also spoken in New York City. _____ the New York-based Endangered Language Alliance has identified a group of Loke speakers in the city's Allerton neighborhood, in the borough of the Bronx.</t>
  </si>
  <si>
    <t>Nonetheless,</t>
  </si>
  <si>
    <t>Specifically,</t>
  </si>
  <si>
    <t>Meanwhile,</t>
  </si>
  <si>
    <t>While researching a topic, a student has taken the following notes:
- Shanawdithit (1801-1829) was a Beothuk cartographer (mapmaker).
- Her maps of Newfoundland's Beothuk Lake outline both the lake and various points around the lake where encounters between the Indigenous Beothuk people and British colonists occurred.
- Her maps are notable for depicting the experiences the Beothuk had within the landscape.
- Contemporary Potawatomi cartographer Margaret Pearce: Indigenous cartography emphasizes "experienced space, or place, as opposed to the Western convention of depicting space as universal, homogenized, and devoid of human experience."
- Pearce: "Indigenous cartographies are as diverse as Indigenous cultures, from Hawaiian performative cartographies to Navajo verbal maps and sand paintings."</t>
  </si>
  <si>
    <t>The student wants to describe Shanawdithit's approach and explain its significance. Which choice most effectively uses relevant information from the notes to accomplish this goal?</t>
  </si>
  <si>
    <t>By depicting experiences of the Beothuk that occurred around Beothuk Lake, Shanawdithit's maps reflect Indigenous cartography's emphasis on "experienced space, or place" rather than the landscape alone.</t>
  </si>
  <si>
    <t>According to Pearce, Indigenous cartography, such as Shanawdithit's maps of Beothuk Lake, emphasizes "experienced space, or place," with a variety of approaches that reflect the diversity of Indigenous cultures</t>
  </si>
  <si>
    <t>Shanawdithit mapped Beothuk Lake through significant encounters that occurred there, an approach that Pearce describes as "depicting space as universal [and] homogenized."</t>
  </si>
  <si>
    <t>Shanawdithit's maps are part of a broader tradition of Indigenous cartography that, according to Pearce, ranges from "Hawaiian performative cartographies to Navajo verbal maps and sand paintings."</t>
  </si>
  <si>
    <t>multifaceted</t>
  </si>
  <si>
    <t>orthodox</t>
  </si>
  <si>
    <t>monotonous</t>
  </si>
  <si>
    <t>If $6 + x = 70$, what is the value of $48 + 8x$?</t>
  </si>
  <si>
    <t>Type of entree | Number of people
Beef          | 17
Chicken       | 20
Fish          | 6
Vegetarian    | 7
Total         | 50</t>
  </si>
  <si>
    <t>A total of 50 people attended a conference and were offered 4 types of entrees. The table shows the number of people who chose each type of entree. If one of these people is selected at random, what is the probability of selecting a person who chose a vegetarian entree?</t>
  </si>
  <si>
    <t>7/100</t>
  </si>
  <si>
    <t>7/50</t>
  </si>
  <si>
    <r>
      <rPr>
        <rFont val="Arial"/>
        <i val="0"/>
        <color rgb="FF000000"/>
        <sz val="10.0"/>
      </rPr>
      <t xml:space="preserve">The following text is adapted from Edith Wharton's 1911 novella Ethan Frome. The narrator has asked the woman he rents a room from about Ethan Frome, a town resident he encountered recently.
Her mind was a store-house of innocuous anecdote and any question about her acquaintances brought forth a volume of detail; but on the subject of Ethan Frome I found her unexpectedly reticent. There was no hint of disapproval in her </t>
    </r>
    <r>
      <rPr>
        <rFont val="Arial"/>
        <i/>
        <color rgb="FF000000"/>
        <sz val="10.0"/>
      </rPr>
      <t>reserve</t>
    </r>
    <r>
      <rPr>
        <rFont val="Arial"/>
        <i val="0"/>
        <color rgb="FF000000"/>
        <sz val="10.0"/>
      </rPr>
      <t>; I merely felt in her an insurmountable reluctance to speak of him.</t>
    </r>
  </si>
  <si>
    <t>The equation $y = 30x + 100$ gives the total cost $y$, in dollars, for a small business to produce $x$ shirts. How many shirts can the business produce for a total cost of $550$?</t>
  </si>
  <si>
    <t>Triangles XYZ and RST are congruent, where $XY = 654$ and $YZ = 654$. If $RS = ST$, what is the length of segment $RS$?</t>
  </si>
  <si>
    <t>A length of 590 meters is equal to how many decimeters? (1 meter = 10 decimeters)</t>
  </si>
  <si>
    <t>An object traveled 0.20 meters for every 4.0 seconds it was in motion. If the object was in motion for 24 seconds, what is the total distance, in meters, the object traveled?</t>
  </si>
  <si>
    <t>On receiving good news, people's first instinct might be to immediately share it, but a recent experiment suggests that keeping it a secret can be psychologically beneficial. Study participants were randomly assigned to reflect on an experience in which they either shared good news or kept it to themselves. On average, those who kept good news secret reported feeling more energized by the experience than participants who shared did, perhaps, as the researchers suggest, because the choice to savor good news is usually a personal one and autonomous motivation is linked with feelings of vitality.</t>
  </si>
  <si>
    <t>The function $f$ is defined by $f(x) = 6(4)^x$. What is the value of $f(x)$ when $x = 3$?</t>
  </si>
  <si>
    <t>Text1
For decades, ornithologists assumed that if they saw a singing winter wren—a bird species found in temperate North America—they must be observing a male trying to attract a mate or claim territory. As Peter J.B. Slater and Nigel I. Mann have emphasized, however, a similar assumption can't be made about birds in the tropics, where females sing as often as males do. Slater and Mann call for more research on this discrepancy between tropical and temperate female birdsong.
Text2
Recent evidence shows that a female winter wren is as capable of song as a male is. In fact, female birdsong is more common among temperate species than currently assumed, claim Evangeline Rose and colleagues. These female songbirds sing less frequently than males do, and in duller tones, making it "easy for researchers to miss the quiet and hidden females and focus on the loud and colorful males," says Rose.</t>
  </si>
  <si>
    <t>They would concede that the geographic difference in prevalence is real but argue that the frequency with which male tropical birds sing has been overstated by previous researchers.</t>
  </si>
  <si>
    <t>The number of cells of the bacteria Bacillus megaterium doubles every 25 minutes during its growth period when placed in a medium of sucrose-salts in a controlled laboratory environment. If a sample of 980 cells of Bacillus megaterium is placed in sucrose-salts in a controlled laboratory environment, which function $f$ best represents the number of cells of the bacteria $x$ minutes after the growth period begins, where $x$ is less than the number of minutes in the growth period?</t>
  </si>
  <si>
    <t>%CHOICES_GRAPH%</t>
  </si>
  <si>
    <t>In separate studies, Yanbo Xiao and colleagues and Xinhua He and colleagues examined whether plants transfer nutrients to one another using a common mycorrhizal network (CMN) --- a lattice of fungal strands in the soil. Xiao and colleagues excluded all pathways other than the CMN by using barriers to keep the plants' root systems separate while allowing mycorrhizal strands through --- a crucial step He and colleagues' study did not take.
Kiao and colleagues took the necessary precaution of separating the plants' root systems thereby excluding root-to-root transmission). However, any barrier used must allow the thread-like hyphae of a CMN to pass through, and this permeability would also allow liquids through. Thus, the researchers' experimental design cannot ensure that any nutrient transfer observed can be attributed to a CMN and not to some other pathway.</t>
  </si>
  <si>
    <t>%CHOICES_GRAPH% 
C)
D)</t>
  </si>
  <si>
    <t>A model predicts that a certain elephant calf weighed 208 pounds when it was born and that the calf gained 3 pounds per day in its first year of life. This model is defined by an equation in the form f(x) = a + bx, where f(x) is the predicted weight, in pounds, of the elephant calf x days after it was born, and a and b are constants.</t>
  </si>
  <si>
    <t>What is the value of a?</t>
  </si>
  <si>
    <t>The expression $13x^3 + 19x^3 - 17x^3$ is equivalent to $bx^3$, where b is a constant.</t>
  </si>
  <si>
    <t>What is the value of b?</t>
  </si>
  <si>
    <t>Based on the text, which choice most effectively uses a transition to introduce the idea developed in the text?</t>
  </si>
  <si>
    <t>crucial way for lawmakers to gauge public opinion.</t>
  </si>
  <si>
    <t>way to directly influence political advertisements.</t>
  </si>
  <si>
    <t>traditional method for building public trust.</t>
  </si>
  <si>
    <t>strategy for organizations to prevent political upheaval.</t>
  </si>
  <si>
    <t>Which of the following is a solution to the given equation?</t>
  </si>
  <si>
    <r>
      <rPr>
        <rFont val="Arial"/>
        <color rgb="FF000000"/>
        <sz val="10.0"/>
      </rPr>
      <t>$\sqrt</t>
    </r>
    <r>
      <rPr>
        <rFont val="Arial"/>
        <color rgb="FF000000"/>
        <sz val="10.0"/>
        <u/>
      </rPr>
      <t>20</t>
    </r>
    <r>
      <rPr>
        <rFont val="Arial"/>
        <color rgb="FF000000"/>
        <sz val="10.0"/>
      </rPr>
      <t>$</t>
    </r>
  </si>
  <si>
    <t>In the right triangle shown, what is the value of cos A?</t>
  </si>
  <si>
    <t>1/49</t>
  </si>
  <si>
    <t>26/49</t>
  </si>
  <si>
    <t>49/26</t>
  </si>
  <si>
    <t>For the linear function $t$, the table shows three values of $x$ and their corresponding values of $t(x)$. Function $v$ is defined by $v(x) = t(x) - 4$. What is the $x$-intercept of the graph of $y = v(x)$ in the xy-plane?</t>
  </si>
  <si>
    <t>A) (-1, 0)
B) (3, 0)
C) (7, 0)
D) (8, 0)</t>
  </si>
  <si>
    <t>For the polynomial function $f$, the graph of $y = f(x)$ in the xy-plane passes through the points $(-5,0)$, $(3, 0)$, and $(4,0)$. Which of the following must be a factor of $f(x)$?</t>
  </si>
  <si>
    <t>x+3</t>
  </si>
  <si>
    <t>x+4</t>
  </si>
  <si>
    <t>x-3</t>
  </si>
  <si>
    <t>x-5</t>
  </si>
  <si>
    <t>Proportion of the Three Most Commonly Exhibited Mobility Patterns, in the US and Cote d'Ivoire
Researchers used anonymized location data from the US and Cote d'Ivoire to document people's daily patterns of mobility, using these results to test the efficacy of the researchers' predictive computer model. In each country, unidirectional cycles among two, three, or four locations were empirically the most common pattern types; the graph shows each of these pattern types as a proportion of all pattern instances found for that country (e.g., the measured value for CI 3 in the graph, 0.12, indicates that the three-location pattern constituted 12% of all pattern instances in the Cote d'Ivoire data). The researchers ran their model twice under different assumptions, concluding that emphasizing the salience of local population density over personal preferences generally yielded the best results.</t>
  </si>
  <si>
    <r>
      <rPr>
        <rFont val="Arial"/>
        <color rgb="FF000000"/>
        <sz val="10.0"/>
      </rPr>
      <t>What is the x-intercept of a line in the xy-plane that has a slope of $-\frac</t>
    </r>
    <r>
      <rPr>
        <rFont val="Arial"/>
        <color rgb="FF000000"/>
        <sz val="10.0"/>
        <u/>
      </rPr>
      <t>47</t>
    </r>
    <r>
      <rPr>
        <rFont val="Arial"/>
        <color rgb="FF000000"/>
        <sz val="10.0"/>
      </rPr>
      <t>$ and passes through the point (0, 12)?</t>
    </r>
  </si>
  <si>
    <t>(-21, 0)</t>
  </si>
  <si>
    <t>(-4, 0)</t>
  </si>
  <si>
    <t>(7, 0)</t>
  </si>
  <si>
    <t>(21, 0)</t>
  </si>
  <si>
    <t>Across brown bears-omnivores with high dietary plasticity-there is wide variety in dietary mix, which may reflect genetics, local resource availability, or social learning (cubs stay with their mothers for two years or more). Evaluating these possibilities, Anne Hertel et al. analyzed 30 years of data on trophic position (indicative of dietary mix) for female brown bears. After separation, daughters, who tended to settle near their mothers, occupied the same trophic positions as their mothers for two years, but the correlation disappeared by year five. Trophic correlation with unrelated individuals in similar habitats was modest, while habitat-independent correlation with nonmaternal relatives (e.g, cousins) was no different than with unrelated individuals. These findings suggest that _____</t>
  </si>
  <si>
    <t>A circle has a circumference of $10\pi$ centimeters. What is the diameter, in centimeters, of the circle?</t>
  </si>
  <si>
    <t>dietary mix among females may reflect a social learning effect that eventually diminishes, though environmental constraints cannot be ruled out as a contributing factor</t>
  </si>
  <si>
    <t>A neighborhood consists of a 3-hectare park and a 34-hectare residential area. The total number of trees in the neighborhood is 4,832. The equation $3x + 34y = 4,832$ represents this situation. Which of the following is the best interpretation of x in this context?</t>
  </si>
  <si>
    <t>Which of the following is the best interpretation of x in this context?</t>
  </si>
  <si>
    <t>The average number of trees per hectare in the park</t>
  </si>
  <si>
    <t>The average number of trees per hectare in the residential area</t>
  </si>
  <si>
    <t>The total number of trees in the park</t>
  </si>
  <si>
    <t>The total number of trees in the residential area</t>
  </si>
  <si>
    <t>Some farms are expanding their mix of crop species in an effort to reduce nonagricultural biodiversity loss caused by increasing agricultural specialization, in which farmers focus on a limited range of crops or livestock species to improve yields and, thus, their revenues. To study the joint environmental and economic effects of diversification practices (which can encompass improved soil and water management as well as increased variety in crops and livestock), Laura Vang Rasmussen and team analyzed data from 2,655 farms in eleven countries. They found that using multiple diversification practices concurrently had greater potential for improving both nonagricultural biodiversity and yields than using a single strategy did. Their finding suggests that</t>
  </si>
  <si>
    <t>In the xy-plane, an equation of circle A is $(x - 5)^2 + (y - 7)^2 = 16$. Circle B has the same center as circle A but has a radius that is twice the radius of circle A. Which equation represents circle B?</t>
  </si>
  <si>
    <r>
      <rPr>
        <rFont val="Arial"/>
        <i val="0"/>
        <color rgb="FF000000"/>
        <sz val="10.0"/>
      </rPr>
      <t xml:space="preserve">The following text is from Charles Chesnutt's 1905 novel The Colonel's Dream. Mr. French and Mr. Kirby work together.
Mr. French, the senior partner, who sat opposite Kirby, was an older man ---a safe guess would have placed him somewhere in the debatable ground between forty and fifty; of a </t>
    </r>
    <r>
      <rPr>
        <rFont val="Arial"/>
        <i/>
        <color rgb="FF000000"/>
        <sz val="10.0"/>
      </rPr>
      <t>good</t>
    </r>
    <r>
      <rPr>
        <rFont val="Arial"/>
        <i val="0"/>
        <color rgb="FF000000"/>
        <sz val="10.0"/>
      </rPr>
      <t xml:space="preserve"> height, as could be seen even from the seated figure, the upper part of which was held erect with the unconscious ease which one associates with military training.</t>
    </r>
  </si>
  <si>
    <t>%CHOICES_GRAPH% Which equation represents circle B?</t>
  </si>
  <si>
    <t>The table shown summarizes the number of employees at each of the 13 stores in a shopping plaza.
| Number of employees | Number of stores |
|---------------------|-----------------|
| 1 to 6             | 2               |
| 7 to 12            | 3               |
| 13 to 18           | 1               |
| 19 to 24           | 6               |
| 25 to 30           | 1               |</t>
  </si>
  <si>
    <t>Which of the following could be the median number of employees for the stores in the shopping plaza?</t>
  </si>
  <si>
    <t>A bias toward studying birds and mammals over fish was one of the many shortcomings researcher Sonia Llorente-Culebras and her team</t>
  </si>
  <si>
    <t>For the positive quantities $m$, $q$, and $r$, $m$ is 20\% of $m + 9 + r$, $q$ is 30\% of $q + r$, and the value of $r$ is 1,358. What is the value of $m$?</t>
  </si>
  <si>
    <t>Jane Austen's Northanger Abbey (1818) is considered a satire of another novel popular at the time: Ann Radcliffe's The Mysteries of Udolpho (1794), which Austen's heroine, Catherine Morland, is depicted reading. However, the similarity of the experiences --- the predicaments of both Catherine and Radcliffe's Emily St. Aubert result from men's greed --- suggests that underlying the satire is a social critique.</t>
  </si>
  <si>
    <t>The graph of $y = f(x) + 2$ is shown, where $f$ is defined by an equation of the form $f(x) = a(b)^x + c$. If $a$, $b$, and $c$ are integer constants and $c \leq 0$, which equation could define $f$?</t>
  </si>
  <si>
    <r>
      <rPr>
        <rFont val="Arial"/>
        <i val="0"/>
        <color rgb="FF000000"/>
        <sz val="10.0"/>
      </rPr>
      <t xml:space="preserve">The following text is adapted from Edith Wharton's 1911 novella Ethan Frome. The narrator has asked the woman he rents a room from about Ethan Frome, a town resident he encountered recently.
Her mind was a store-house of innocuous anecdote and any question about her acquaintances brought forth a volume of detail; but on the subject of Ethan Frome I found her unexpectedly reticent. There was no hint of disapproval in her </t>
    </r>
    <r>
      <rPr>
        <rFont val="Arial"/>
        <i/>
        <color rgb="FF000000"/>
        <sz val="10.0"/>
      </rPr>
      <t>reserve</t>
    </r>
    <r>
      <rPr>
        <rFont val="Arial"/>
        <i val="0"/>
        <color rgb="FF000000"/>
        <sz val="10.0"/>
      </rPr>
      <t>; I merely felt in her an insurmountable reluctance to speak of him.</t>
    </r>
  </si>
  <si>
    <t>%GRAPH%</t>
  </si>
  <si>
    <t>%CHOICES_GRAPH% Which choice is the function $f(x)$?</t>
  </si>
  <si>
    <t>30x = 1,800y - 2,700</t>
  </si>
  <si>
    <t>One of the two equations in a system of linear equations is given. The system has no solution. Which equation could be the second equation in this system?</t>
  </si>
  <si>
    <t>(1/30) x = 2y</t>
  </si>
  <si>
    <t>(1/30) x = 60y - 90</t>
  </si>
  <si>
    <t>x = 2y</t>
  </si>
  <si>
    <t>x = 60y - 90</t>
  </si>
  <si>
    <t>A candle is made of 18 ounces of wax. When the candle is burning, the amount of wax in the candle decreases by 1 ounce every 4 hours. If 8 ounces of wax remain in this candle, for how many hours has it been burning?</t>
  </si>
  <si>
    <t>In economics, soybeans are considered a commodity because they are essentially interchangeable, "essentially" being a word that admits a degree of latitude. In 2021, researchers J. Shorish, M. Stephenson, and M. Zargham devised a mathematical model of fungibility (interchangeability) that would account for such variation. Distinguishing "exactly the same" and "nearly the same" commodities --- whether crops, lumber, or precious metals --- among their primary aims.</t>
  </si>
  <si>
    <t>The scatterplot shows the relationship between two variables, x and y, for data set A. A line of best fit for the data is also shown. Data set B is created by subtracting 8 units from the value of y for each data point from data set A.</t>
  </si>
  <si>
    <t>Which of the following is closest to the y-coordinate of the y-intercept of the line of best fit for data set B?</t>
  </si>
  <si>
    <t>q(x) = 12 (2^x)
Which table gives three values of x and their corresponding values of q(x) for function q?
%CHOICES_GRAPH%</t>
  </si>
  <si>
    <t>For the exponential function g, the value of g(x) doubles for every increase of 2 in the value of x. If g(5) = 13, what is the value of g(7)?</t>
  </si>
  <si>
    <r>
      <rPr>
        <rFont val="Arial"/>
        <color rgb="FF000000"/>
        <sz val="10.0"/>
      </rPr>
      <t>The length of a rectangle's diagonal is $\sqrt</t>
    </r>
    <r>
      <rPr>
        <rFont val="Arial"/>
        <color rgb="FF000000"/>
        <sz val="10.0"/>
        <u/>
      </rPr>
      <t>34</t>
    </r>
    <r>
      <rPr>
        <rFont val="Arial"/>
        <color rgb="FF000000"/>
        <sz val="10.0"/>
      </rPr>
      <t>$, and the length of one of the rectangle's sides is 5. What is the perimeter of the rectangle?</t>
    </r>
  </si>
  <si>
    <t>What is the perimeter of the rectangle?</t>
  </si>
  <si>
    <t>2x + 12y = 6
x + 8y = 1
The solution to the given system of equations is (x, y). What is the value of x + 4y?</t>
  </si>
  <si>
    <r>
      <rPr>
        <rFont val="Arial"/>
        <color rgb="FF000000"/>
        <sz val="10.0"/>
      </rPr>
      <t>The expression $\frac</t>
    </r>
    <r>
      <rPr>
        <rFont val="Arial"/>
        <color rgb="FF000000"/>
        <sz val="10.0"/>
        <u/>
      </rPr>
      <t>6x^241</t>
    </r>
    <r>
      <rPr>
        <rFont val="Arial"/>
        <color rgb="FF000000"/>
        <sz val="10.0"/>
      </rPr>
      <t>8</t>
    </r>
    <r>
      <rPr>
        <rFont val="Arial"/>
        <color rgb="FF000000"/>
        <sz val="10.0"/>
        <u/>
      </rPr>
      <t xml:space="preserve">x^7$ </t>
    </r>
    <r>
      <rPr>
        <rFont val="Arial"/>
        <color rgb="FF000000"/>
        <sz val="10.0"/>
      </rPr>
      <t>is equivalent to $\frac13</t>
    </r>
    <r>
      <rPr>
        <rFont val="Arial"/>
        <color rgb="FF000000"/>
        <sz val="10.0"/>
        <u/>
      </rPr>
      <t>x^</t>
    </r>
    <r>
      <rPr>
        <rFont val="Arial"/>
        <color rgb="FF000000"/>
        <sz val="10.0"/>
      </rPr>
      <t>b$, where $b$ is a constant and $x &gt; 0$. What is the value of $b$?</t>
    </r>
  </si>
  <si>
    <t>24/7</t>
  </si>
  <si>
    <t>An object is kicked from a platform. The equation $h = -4.9t^2 + 8t + 11$ represents this situation, where $h$ is the height of the object above the ground, in meters, $t$ seconds after it is kicked. According to the equation, what is the height, in meters, from which the object was kicked?</t>
  </si>
  <si>
    <t>Such as</t>
  </si>
  <si>
    <t>While</t>
  </si>
  <si>
    <t>Naturally,</t>
  </si>
  <si>
    <t>Since</t>
  </si>
  <si>
    <t>The table shows the linear relationship between the number of cars, $c$, on a commuter train and the maximum number of passengers and crew, $p$, that the train can carry. Which equation represents the linear relationship between $c$ and $p$?</t>
  </si>
  <si>
    <t>44c - p = -7</t>
  </si>
  <si>
    <t>44c - p = 7</t>
  </si>
  <si>
    <t>44p - c = -7</t>
  </si>
  <si>
    <t>44p - c = 7</t>
  </si>
  <si>
    <t>What are the solutions to the given equation?
x(x+3) - 1 = 0
%CHOICES_GRAPH%</t>
  </si>
  <si>
    <t>Which point $(x, y)$ is a solution to the given system of inequalities in the xy-plane?</t>
  </si>
  <si>
    <t>(0, -15)</t>
  </si>
  <si>
    <t>(0, 15)</t>
  </si>
  <si>
    <t>(-8, 0)</t>
  </si>
  <si>
    <t>(8, 0)</t>
  </si>
  <si>
    <t>What is the probability of selecting a person who chose a vegetarian entree?</t>
  </si>
  <si>
    <t>In the given equation, $k$ is a constant. The equation has exactly one solution. Which value CANNOT be the value of $k$?</t>
  </si>
  <si>
    <t>The equation gives the total cost $y$, in dollars, for a small business to produce $x$ shirts. How many shirts can the business produce for a total cost of $550$?</t>
  </si>
  <si>
    <t>The table shows three values of $x$ and their corresponding values of $y$, where $a$ and $b$ are constants. There is a linear relationship between $x$ and $y$. In the xy-plane, the y-intercept of the line representing this relationship is (0, -14). What is the value of $a + b$?</t>
  </si>
  <si>
    <t>A) - 30
B) - 29
C) - 20
D) - 19</t>
  </si>
  <si>
    <r>
      <rPr>
        <rFont val="Arial"/>
        <color rgb="FF000000"/>
        <sz val="10.0"/>
      </rPr>
      <t>Line $s$ is perpendicular to line $t$ in the xy-plane. Line $s$ passes through the points $(6, \frac</t>
    </r>
    <r>
      <rPr>
        <rFont val="Arial"/>
        <color rgb="FF000000"/>
        <sz val="10.0"/>
        <u/>
      </rPr>
      <t>78</t>
    </r>
    <r>
      <rPr>
        <rFont val="Arial"/>
        <color rgb="FF000000"/>
        <sz val="10.0"/>
      </rPr>
      <t>)$ and $(-3, -\frac</t>
    </r>
    <r>
      <rPr>
        <rFont val="Arial"/>
        <color rgb="FF000000"/>
        <sz val="10.0"/>
        <u/>
      </rPr>
      <t>178</t>
    </r>
    <r>
      <rPr>
        <rFont val="Arial"/>
        <color rgb="FF000000"/>
        <sz val="10.0"/>
      </rPr>
      <t>)$. Line $t$ passes through the points $(-8, 39)$ and $(k, 78)$. What is the value of $k$?</t>
    </r>
  </si>
  <si>
    <t>$0$</t>
  </si>
  <si>
    <t>$y = 2x^2 - 24x + 54$
The given equation represents a parabola in the xy-plane. Which of the following equations that represent the same parabola displays the x-intercepts as constants or coefficients?</t>
  </si>
  <si>
    <t>A) $y = 2(x^2 - 12x) + 54$
B) $y = 2x(x - 12) + 54$
C) $y = 2(x - 6)^2 - 18$
D) $y = 2(x - 9)(x - 3)$</t>
  </si>
  <si>
    <t>The number of cells of the bacteria Bacillus megaterium doubles every 25 minutes during its growth period when placed in a medium of sucrose-salts in a controlled laboratory environment. If a sample of 980 cells of Bacillus megaterium is placed in sucrose-salts in a controlled laboratory environment, which function f best represents the number of cells of the bacteria x minutes after the growth period begins, where x is less than the number of minutes in the growth period?</t>
  </si>
  <si>
    <t>Note: Figure not drawn to scale.</t>
  </si>
  <si>
    <t>In the figure, line $m$ is parallel to line $n$, and lines $AE$ and $CD$ intersect at point $B$. Which additional piece of information is sufficient to prove that triangle $ABC$ is congruent to triangle $EBD$?</t>
  </si>
  <si>
    <t>$AB= 12$ and $DB = 12$.</t>
  </si>
  <si>
    <t>$AB = 12$ and $EB = 12$.</t>
  </si>
  <si>
    <t>Triangles $ABC$ and $EBD$ are isosceles.</t>
  </si>
  <si>
    <t>No additional information is necessary to determine that the two triangles are congruent.</t>
  </si>
  <si>
    <t>%CHOICES_GRAPH%
Which equation defines how the elephant calf's weight changes over time?</t>
  </si>
  <si>
    <t>$f(x) = 12(7)^x$</t>
  </si>
  <si>
    <t>The function $f$ is defined by the given equation. If $g(x) = f(x + 2)$, which of the following equations defines the function $g$?</t>
  </si>
  <si>
    <t>$g(x) = 24(7)^x$</t>
  </si>
  <si>
    <t>$g(x) = 588(7)^x$</t>
  </si>
  <si>
    <t>$g(x) = 24(14)^x$</t>
  </si>
  <si>
    <t>$g(x) = 144(49)^x$</t>
  </si>
  <si>
    <t>A model predicts that a certain elephant calf weighed 208 pounds when it was born and that the calf gained 3 pounds per day in its first year of life. This model is defined by an equation in the form $f(x) = a + bx$, where $f(x)$ is the predicted weight, in pounds, of the elephant calf $x$ days after it was born, and $a$ and $b$ are constants.</t>
  </si>
  <si>
    <t>What is the value of $a$?</t>
  </si>
  <si>
    <t>The value of a painting increased by 179% from the end of 2017 to the end of 2018 and then decreased by 23% from the end of 2018 to the end of 2019. What was the net percentage increase in the value of the painting from the end of 2017 to the end of 2019?</t>
  </si>
  <si>
    <t>The expression $13x^3 + 19x^3 - 17x^3$ is equivalent to $bx^3$, where $b$ is a constant. What is the value of $b$?</t>
  </si>
  <si>
    <t>$x^2 - 20x = 0$
Which of the following is a solution to the given equation?</t>
  </si>
  <si>
    <r>
      <rPr>
        <rFont val="Arial"/>
        <color rgb="FF000000"/>
        <sz val="10.0"/>
      </rPr>
      <t>\sqrt</t>
    </r>
    <r>
      <rPr>
        <rFont val="Arial"/>
        <color rgb="FF000000"/>
        <sz val="10.0"/>
        <u/>
      </rPr>
      <t>20</t>
    </r>
  </si>
  <si>
    <t>%GRAPH% Note: Figure not drawn to scale.</t>
  </si>
  <si>
    <r>
      <rPr>
        <rFont val="Arial"/>
        <color rgb="FF000000"/>
        <sz val="10.0"/>
      </rPr>
      <t>$\frac</t>
    </r>
    <r>
      <rPr>
        <rFont val="Arial"/>
        <color rgb="FF000000"/>
        <sz val="10.0"/>
        <u/>
      </rPr>
      <t>27</t>
    </r>
    <r>
      <rPr>
        <rFont val="Arial"/>
        <color rgb="FF000000"/>
        <sz val="10.0"/>
      </rPr>
      <t xml:space="preserve"> (2x + 7)\left(x + \sqrt</t>
    </r>
    <r>
      <rPr>
        <rFont val="Arial"/>
        <color rgb="FF000000"/>
        <sz val="10.0"/>
        <u/>
      </rPr>
      <t>2k + 7</t>
    </r>
    <r>
      <rPr>
        <rFont val="Arial"/>
        <color rgb="FF000000"/>
        <sz val="10.0"/>
      </rPr>
      <t>\right)\left(x - \sqrt</t>
    </r>
    <r>
      <rPr>
        <rFont val="Arial"/>
        <color rgb="FF000000"/>
        <sz val="10.0"/>
        <u/>
      </rPr>
      <t>2k + 7</t>
    </r>
    <r>
      <rPr>
        <rFont val="Arial"/>
        <color rgb="FF000000"/>
        <sz val="10.0"/>
      </rPr>
      <t>\right) = 0$</t>
    </r>
  </si>
  <si>
    <t>In the given equation, k is a positive constant. The product of the solutions to the equation is 63. What is the value of k?</t>
  </si>
  <si>
    <t>$4x^2 - px + w = -87$</t>
  </si>
  <si>
    <t>In the given equation, p and w are integer constants. The equation has exactly one real solution. Which is NOT a possible value of w?</t>
  </si>
  <si>
    <r>
      <rPr>
        <rFont val="Arial"/>
        <color rgb="FF000000"/>
        <sz val="10.0"/>
      </rPr>
      <t>\[
\begin</t>
    </r>
    <r>
      <rPr>
        <rFont val="Arial"/>
        <color rgb="FF000000"/>
        <sz val="10.0"/>
        <u/>
      </rPr>
      <t>array|c|c|</t>
    </r>
    <r>
      <rPr>
        <rFont val="Arial"/>
        <color rgb="FF000000"/>
        <sz val="10.0"/>
      </rPr>
      <t xml:space="preserve">
\hline
x &amp; t(x) \\
\hline
29 &amp; 15 \\
32 &amp; \frac</t>
    </r>
    <r>
      <rPr>
        <rFont val="Arial"/>
        <color rgb="FF000000"/>
        <sz val="10.0"/>
        <u/>
      </rPr>
      <t>332</t>
    </r>
    <r>
      <rPr>
        <rFont val="Arial"/>
        <color rgb="FF000000"/>
        <sz val="10.0"/>
      </rPr>
      <t xml:space="preserve"> \\
51 &amp; 26 \\
\hline
\end</t>
    </r>
    <r>
      <rPr>
        <rFont val="Arial"/>
        <color rgb="FF000000"/>
        <sz val="10.0"/>
        <u/>
      </rPr>
      <t>array</t>
    </r>
    <r>
      <rPr>
        <rFont val="Arial"/>
        <color rgb="FF000000"/>
        <sz val="10.0"/>
      </rPr>
      <t xml:space="preserve">
\] For the linear function $t$, the table shows three values of $x$ and their corresponding values of $t(x)$. Function $v$ is defined by $v(x) = t(x) - 4$.</t>
    </r>
  </si>
  <si>
    <t>What is the $x$-intercept of the graph of $y = v(x)$ in the xy-plane?</t>
  </si>
  <si>
    <t>(-1, 0)</t>
  </si>
  <si>
    <t>Area (square inches)
Trapezoid ABCD: 440
Trapezoid EFGH: 11,000
Trapezoid ABCD is similar to trapezoid EFGH, where A, B, C, and D correspond to E, F, G, and H, respectively. The length of side AB is 55 inches. What is the length, in inches, of side EF?</t>
  </si>
  <si>
    <t>(3, 0)</t>
  </si>
  <si>
    <t>For the polynomial function $f$, the graph of $y = f(x)$ in the xy-plane passes through the points (-5,0), (3, 0), and (4,0). Which of the following must be a factor of $f(x)$?</t>
  </si>
  <si>
    <t>In triangle JKL, the measure of angle J is (90b)°, the measure of angle K is (69a)°, and the measure of angle L is (21a)°, where a and b are constants. Which of the following must be true?</t>
  </si>
  <si>
    <t>cos L &gt; sin K</t>
  </si>
  <si>
    <t>cos L = sin K</t>
  </si>
  <si>
    <t>cos L &lt; sin K</t>
  </si>
  <si>
    <t>There is not enough information to compare the values of cos L and sin K</t>
  </si>
  <si>
    <r>
      <rPr>
        <rFont val="Arial"/>
        <color rgb="FF000000"/>
        <sz val="10.0"/>
      </rPr>
      <t>What is the x-intercept of a line in the xy-plane that has a slope of $-\frac</t>
    </r>
    <r>
      <rPr>
        <rFont val="Arial"/>
        <color rgb="FF000000"/>
        <sz val="10.0"/>
        <u/>
      </rPr>
      <t>47</t>
    </r>
    <r>
      <rPr>
        <rFont val="Arial"/>
        <color rgb="FF000000"/>
        <sz val="10.0"/>
      </rPr>
      <t>$ and passes through the point $(0, 12)$?</t>
    </r>
  </si>
  <si>
    <t>Question 1</t>
  </si>
  <si>
    <t>...</t>
  </si>
  <si>
    <t>A circle has a circumference of $10 \pi$ centimeters. What is the diameter, in centimeters, of the circle?</t>
  </si>
  <si>
    <t>Question 2</t>
  </si>
  <si>
    <t>Which of the following is the best interpretation of $x$ in this context?</t>
  </si>
  <si>
    <t>Question 3</t>
  </si>
  <si>
    <r>
      <rPr>
        <rFont val="Arial"/>
        <i val="0"/>
        <color rgb="FF000000"/>
        <sz val="10.0"/>
      </rPr>
      <t xml:space="preserve">In the </t>
    </r>
    <r>
      <rPr>
        <rFont val="Arial"/>
        <i/>
        <color rgb="FF000000"/>
        <sz val="10.0"/>
      </rPr>
      <t>xy</t>
    </r>
    <r>
      <rPr>
        <rFont val="Arial"/>
        <i val="0"/>
        <color rgb="FF000000"/>
        <sz val="10.0"/>
      </rPr>
      <t>-plane, an equation of circle A is $(x - 5)^2 + (y - 7)^2 = 16.$ Circle B has the same center as circle A but has a radius that is twice the radius of circle A. Which equation represents circle B?</t>
    </r>
  </si>
  <si>
    <r>
      <rPr>
        <rFont val="Arial"/>
        <i val="0"/>
        <color rgb="FF000000"/>
        <sz val="10.0"/>
      </rPr>
      <t xml:space="preserve">The following text is adapted from Edith Wharton's 1911 novella Ethan Frome. The narrator has asked the woman he rents a room from about Ethan Frome, a town resident he encountered recently.
Her mind was a store-house of innocuous anecdote and any question about her acquaintances brought forth a volume of detail; but on the subject of Ethan Frome I found her unexpectedly reticent. There was no hint of disapproval in her </t>
    </r>
    <r>
      <rPr>
        <rFont val="Arial"/>
        <i/>
        <color rgb="FF000000"/>
        <sz val="10.0"/>
      </rPr>
      <t>reserve</t>
    </r>
    <r>
      <rPr>
        <rFont val="Arial"/>
        <i val="0"/>
        <color rgb="FF000000"/>
        <sz val="10.0"/>
      </rPr>
      <t>; I merely felt in her an insurmountable reluctance to speak of him.</t>
    </r>
  </si>
  <si>
    <t>Question 4</t>
  </si>
  <si>
    <t>Question 5</t>
  </si>
  <si>
    <t>Question 6</t>
  </si>
  <si>
    <t>Question 7</t>
  </si>
  <si>
    <r>
      <rPr>
        <rFont val="Arial"/>
        <color rgb="FF000000"/>
        <sz val="10.0"/>
      </rPr>
      <t>The table shown summarizes the number of employees at each of the 13 stores in a shopping plaza.
\begin</t>
    </r>
    <r>
      <rPr>
        <rFont val="Arial"/>
        <color rgb="FF000000"/>
        <sz val="10.0"/>
        <u/>
      </rPr>
      <t>array|c|c|</t>
    </r>
    <r>
      <rPr>
        <rFont val="Arial"/>
        <color rgb="FF000000"/>
        <sz val="10.0"/>
      </rPr>
      <t xml:space="preserve">
\hline
\text</t>
    </r>
    <r>
      <rPr>
        <rFont val="Arial"/>
        <color rgb="FF000000"/>
        <sz val="10.0"/>
        <u/>
      </rPr>
      <t>Number of employees</t>
    </r>
    <r>
      <rPr>
        <rFont val="Arial"/>
        <color rgb="FF000000"/>
        <sz val="10.0"/>
      </rPr>
      <t xml:space="preserve"> &amp; \text</t>
    </r>
    <r>
      <rPr>
        <rFont val="Arial"/>
        <color rgb="FF000000"/>
        <sz val="10.0"/>
        <u/>
      </rPr>
      <t>Number of stores</t>
    </r>
    <r>
      <rPr>
        <rFont val="Arial"/>
        <color rgb="FF000000"/>
        <sz val="10.0"/>
      </rPr>
      <t xml:space="preserve"> \\
\hline
1 \text</t>
    </r>
    <r>
      <rPr>
        <rFont val="Arial"/>
        <color rgb="FF000000"/>
        <sz val="10.0"/>
        <u/>
      </rPr>
      <t xml:space="preserve"> to </t>
    </r>
    <r>
      <rPr>
        <rFont val="Arial"/>
        <color rgb="FF000000"/>
        <sz val="10.0"/>
      </rPr>
      <t xml:space="preserve"> 6 &amp; 2 \\
7 \text</t>
    </r>
    <r>
      <rPr>
        <rFont val="Arial"/>
        <color rgb="FF000000"/>
        <sz val="10.0"/>
        <u/>
      </rPr>
      <t xml:space="preserve"> to </t>
    </r>
    <r>
      <rPr>
        <rFont val="Arial"/>
        <color rgb="FF000000"/>
        <sz val="10.0"/>
      </rPr>
      <t xml:space="preserve"> 12 &amp; 3 \\
13 \text</t>
    </r>
    <r>
      <rPr>
        <rFont val="Arial"/>
        <color rgb="FF000000"/>
        <sz val="10.0"/>
        <u/>
      </rPr>
      <t xml:space="preserve"> to </t>
    </r>
    <r>
      <rPr>
        <rFont val="Arial"/>
        <color rgb="FF000000"/>
        <sz val="10.0"/>
      </rPr>
      <t xml:space="preserve"> 18 &amp; 1 \\
19 \text</t>
    </r>
    <r>
      <rPr>
        <rFont val="Arial"/>
        <color rgb="FF000000"/>
        <sz val="10.0"/>
        <u/>
      </rPr>
      <t xml:space="preserve"> to </t>
    </r>
    <r>
      <rPr>
        <rFont val="Arial"/>
        <color rgb="FF000000"/>
        <sz val="10.0"/>
      </rPr>
      <t xml:space="preserve"> 24 &amp; 6 \\
25 \text</t>
    </r>
    <r>
      <rPr>
        <rFont val="Arial"/>
        <color rgb="FF000000"/>
        <sz val="10.0"/>
        <u/>
      </rPr>
      <t xml:space="preserve"> to </t>
    </r>
    <r>
      <rPr>
        <rFont val="Arial"/>
        <color rgb="FF000000"/>
        <sz val="10.0"/>
      </rPr>
      <t xml:space="preserve"> 30 &amp; 1 \\
\hline
\end</t>
    </r>
    <r>
      <rPr>
        <rFont val="Arial"/>
        <color rgb="FF000000"/>
        <sz val="10.0"/>
        <u/>
      </rPr>
      <t>array</t>
    </r>
  </si>
  <si>
    <t>Question 8</t>
  </si>
  <si>
    <t>For the positive quantities $m$, $q$, and $r$, $m$ is 20% of $m + 9 + r$, $q$ is 30% of $q + r$, and the value of $r$ is 1,358. What is the value of $m$?</t>
  </si>
  <si>
    <t>Question 9</t>
  </si>
  <si>
    <t>%GRAPH%
The graph of $y = f(x) + 2$ is shown, where $f$ is defined by an equation of the form $f(x) = a(b)^x + c$. If $a$, $b$, and $c$ are integer constants and $c \leq 0$, which equation could define $f$?</t>
  </si>
  <si>
    <t>f(x) = -2(3)^x - 2</t>
  </si>
  <si>
    <t>Question 10</t>
  </si>
  <si>
    <t>Which expression is equivalent to $f(x)$?</t>
  </si>
  <si>
    <t>$f(x) = -5(3)^x$</t>
  </si>
  <si>
    <t>$f(x) = -5(3)^x - 1$</t>
  </si>
  <si>
    <t>$f(x) = -5(3)^x - 3$</t>
  </si>
  <si>
    <t>$f(x) = -5(3)^x - 5$</t>
  </si>
  <si>
    <t>Question 11</t>
  </si>
  <si>
    <t>(1/30)x = 2y</t>
  </si>
  <si>
    <t>(1/30)x = 60y - 90</t>
  </si>
  <si>
    <t>Question 12</t>
  </si>
  <si>
    <t>Question 13</t>
  </si>
  <si>
    <t>Question 14</t>
  </si>
  <si>
    <t>The scatterplot shows the relationship between two variables, $x$ and $y$, for data set A. A line of best fit for the data is also shown. Data set B is created by subtracting 8 units from the value of $y$ for each data point from data set A. Which of the following is closest to the $y$-coordinate of the y-intercept of the line of best fit for data set B?</t>
  </si>
  <si>
    <t>Question 15</t>
  </si>
  <si>
    <r>
      <rPr>
        <rFont val="Arial"/>
        <color rgb="FF000000"/>
        <sz val="10.0"/>
      </rPr>
      <t>$q(x) = 12\ (2^</t>
    </r>
    <r>
      <rPr>
        <rFont val="Arial"/>
        <color rgb="FF000000"/>
        <sz val="10.0"/>
        <u/>
      </rPr>
      <t>x</t>
    </r>
    <r>
      <rPr>
        <rFont val="Arial"/>
        <color rgb="FF000000"/>
        <sz val="10.0"/>
      </rPr>
      <t>)$
Which table gives three values of $x$ and their corresponding values of $q(x)$ for function $q$?</t>
    </r>
  </si>
  <si>
    <t>Question 16</t>
  </si>
  <si>
    <t>Question 17</t>
  </si>
  <si>
    <t>Which table shows a relationship where $q(x)$ is an exponential function of $x$?</t>
  </si>
  <si>
    <t>Question 18</t>
  </si>
  <si>
    <t>For the exponential function $g$, the value of $g(x)$ doubles for every increase of 2 in the value of $x$. If $g(5) = 13$, what is the value of $g(7)$?</t>
  </si>
  <si>
    <t>Question 19</t>
  </si>
  <si>
    <r>
      <rPr>
        <rFont val="Arial"/>
        <color rgb="FF000000"/>
        <sz val="10.0"/>
      </rPr>
      <t>The length of a rectangle's diagonal is $\sqrt</t>
    </r>
    <r>
      <rPr>
        <rFont val="Arial"/>
        <color rgb="FF000000"/>
        <sz val="10.0"/>
        <u/>
      </rPr>
      <t>34</t>
    </r>
    <r>
      <rPr>
        <rFont val="Arial"/>
        <color rgb="FF000000"/>
        <sz val="10.0"/>
      </rPr>
      <t>$, and the length of one of the rectangle's sides is 5. What is the perimeter of the rectangle?</t>
    </r>
  </si>
  <si>
    <t>Question 20</t>
  </si>
  <si>
    <t>$2x + 12y = 6$
$x + 8y = 1$</t>
  </si>
  <si>
    <t>Question 21</t>
  </si>
  <si>
    <t>The solution to the given system of equations is $(x,y)$. What is the value of $x + 4y$?</t>
  </si>
  <si>
    <t>Question 22</t>
  </si>
  <si>
    <r>
      <rPr>
        <rFont val="Arial"/>
        <color rgb="FF000000"/>
        <sz val="10.0"/>
      </rPr>
      <t>The expression $\frac</t>
    </r>
    <r>
      <rPr>
        <rFont val="Arial"/>
        <color rgb="FF000000"/>
        <sz val="10.0"/>
        <u/>
      </rPr>
      <t>6x^241</t>
    </r>
    <r>
      <rPr>
        <rFont val="Arial"/>
        <color rgb="FF000000"/>
        <sz val="10.0"/>
      </rPr>
      <t>8</t>
    </r>
    <r>
      <rPr>
        <rFont val="Arial"/>
        <color rgb="FF000000"/>
        <sz val="10.0"/>
        <u/>
      </rPr>
      <t xml:space="preserve">x^7$ </t>
    </r>
    <r>
      <rPr>
        <rFont val="Arial"/>
        <color rgb="FF000000"/>
        <sz val="10.0"/>
      </rPr>
      <t>is equivalent to $\frac13</t>
    </r>
    <r>
      <rPr>
        <rFont val="Arial"/>
        <color rgb="FF000000"/>
        <sz val="10.0"/>
        <u/>
      </rPr>
      <t xml:space="preserve"> x</t>
    </r>
    <r>
      <rPr>
        <rFont val="Arial"/>
        <color rgb="FF000000"/>
        <sz val="10.0"/>
      </rPr>
      <t>^b$, where $b$ is a constant and $x &gt; 0$. What is the value of $b$?</t>
    </r>
  </si>
  <si>
    <t>Question 23</t>
  </si>
  <si>
    <t>What is the value of $b$?</t>
  </si>
  <si>
    <t>Question 24</t>
  </si>
  <si>
    <t>According to the equation, what is the height, in meters, from which the object was kicked?</t>
  </si>
  <si>
    <t>Question 25</t>
  </si>
  <si>
    <t>%GRAPH%
The table shows the linear relationship between the number of cars, $c$, on a commuter train and the maximum number of passengers and crew, $p$, that the train can carry. Which equation represents the linear relationship between $c$ and $p$?</t>
  </si>
  <si>
    <t>%CHOICES_GRAPH% Which equation represents the linear relationship between $c$ and $p$?</t>
  </si>
  <si>
    <t>$44c - p = -7$</t>
  </si>
  <si>
    <t>$44c - p = 7$</t>
  </si>
  <si>
    <r>
      <rPr>
        <rFont val="Arial"/>
        <color rgb="FF000000"/>
        <sz val="10.0"/>
      </rPr>
      <t>\sqrt</t>
    </r>
    <r>
      <rPr>
        <rFont val="Arial"/>
        <color rgb="FF000000"/>
        <sz val="10.0"/>
        <u/>
      </rPr>
      <t>20</t>
    </r>
  </si>
  <si>
    <t>Question 26</t>
  </si>
  <si>
    <t>$44p - c = -7$</t>
  </si>
  <si>
    <t>$44p - c = 7$</t>
  </si>
  <si>
    <t>$x(x+3) - 1 = 0$
What are the solutions to the given equation?
%CHOICES_GRAPH%</t>
  </si>
  <si>
    <t>Question 27</t>
  </si>
  <si>
    <r>
      <rPr>
        <rFont val="Arial"/>
        <color rgb="FF000000"/>
        <sz val="10.0"/>
      </rPr>
      <t>\frac</t>
    </r>
    <r>
      <rPr>
        <rFont val="Arial"/>
        <color rgb="FF000000"/>
        <sz val="10.0"/>
        <u/>
      </rPr>
      <t>-3 \pm \sqrt132</t>
    </r>
  </si>
  <si>
    <t>$(0, -15)$</t>
  </si>
  <si>
    <t>$(0, 15)$</t>
  </si>
  <si>
    <t>$(-8, 0)$</t>
  </si>
  <si>
    <t>$(8, 0)$</t>
  </si>
  <si>
    <r>
      <rPr>
        <rFont val="Arial"/>
        <color rgb="FF000000"/>
        <sz val="10.0"/>
      </rPr>
      <t>\[
\begin</t>
    </r>
    <r>
      <rPr>
        <rFont val="Arial"/>
        <color rgb="FF000000"/>
        <sz val="10.0"/>
        <u/>
      </rPr>
      <t>array|c|c|</t>
    </r>
    <r>
      <rPr>
        <rFont val="Arial"/>
        <color rgb="FF000000"/>
        <sz val="10.0"/>
      </rPr>
      <t xml:space="preserve">
\hline
x &amp; t(x) \\
\hline
29 &amp; 15 \\
32 &amp; \frac</t>
    </r>
    <r>
      <rPr>
        <rFont val="Arial"/>
        <color rgb="FF000000"/>
        <sz val="10.0"/>
        <u/>
      </rPr>
      <t>332</t>
    </r>
    <r>
      <rPr>
        <rFont val="Arial"/>
        <color rgb="FF000000"/>
        <sz val="10.0"/>
      </rPr>
      <t xml:space="preserve"> \\
51 &amp; 26 \\
\hline
\end</t>
    </r>
    <r>
      <rPr>
        <rFont val="Arial"/>
        <color rgb="FF000000"/>
        <sz val="10.0"/>
        <u/>
      </rPr>
      <t>array</t>
    </r>
    <r>
      <rPr>
        <rFont val="Arial"/>
        <color rgb="FF000000"/>
        <sz val="10.0"/>
      </rPr>
      <t xml:space="preserve">
\] For the linear function $t$, the table shows three values of $x$ and their corresponding values of $t(x)$. Function $v$ is defined by $v(x) = t(x) - 4$.</t>
    </r>
  </si>
  <si>
    <t>The table shows three values of $x$ and their corresponding values of $y$, where $a$ and $b$ are constants. There is a linear relationship between $x$ and $y$. In the $xy$-plane, the $y$-intercept of the line representing this relationship is $(0, -14)$.</t>
  </si>
  <si>
    <t>What is the value of $a + b$?</t>
  </si>
  <si>
    <r>
      <rPr>
        <rFont val="Arial"/>
        <color rgb="FF000000"/>
        <sz val="10.0"/>
      </rPr>
      <t>Line $s$ is perpendicular to line $t$ in the $xy$-plane. Line $s$ passes through the points $(6, \frac</t>
    </r>
    <r>
      <rPr>
        <rFont val="Arial"/>
        <color rgb="FF000000"/>
        <sz val="10.0"/>
        <u/>
      </rPr>
      <t>78</t>
    </r>
    <r>
      <rPr>
        <rFont val="Arial"/>
        <color rgb="FF000000"/>
        <sz val="10.0"/>
      </rPr>
      <t>)$ and $(-3, -\frac</t>
    </r>
    <r>
      <rPr>
        <rFont val="Arial"/>
        <color rgb="FF000000"/>
        <sz val="10.0"/>
        <u/>
      </rPr>
      <t>178</t>
    </r>
    <r>
      <rPr>
        <rFont val="Arial"/>
        <color rgb="FF000000"/>
        <sz val="10.0"/>
      </rPr>
      <t>)$. Line $t$ passes through the points $(-8, 39)$ and $(k, 78)$. What is the value of $k?</t>
    </r>
  </si>
  <si>
    <r>
      <rPr>
        <rFont val="Arial"/>
        <color rgb="FF000000"/>
        <sz val="10.0"/>
      </rPr>
      <t>What is the x-intercept of a line in the xy-plane that has a slope of $-\frac</t>
    </r>
    <r>
      <rPr>
        <rFont val="Arial"/>
        <color rgb="FF000000"/>
        <sz val="10.0"/>
        <u/>
      </rPr>
      <t>47</t>
    </r>
    <r>
      <rPr>
        <rFont val="Arial"/>
        <color rgb="FF000000"/>
        <sz val="10.0"/>
      </rPr>
      <t>$ and passes through the point $(0, 12)$?</t>
    </r>
  </si>
  <si>
    <t>$y = 2\ x^2 - 24x + 54$</t>
  </si>
  <si>
    <t>The given equation represents a parabola in the xy-plane. Which of the following equations that represent the same parabola displays the x-intercepts as constants or coefficients?</t>
  </si>
  <si>
    <t>$y = 2(x^2 - 12x) + 54$</t>
  </si>
  <si>
    <t>$y = 2x(x - 12) + 54$</t>
  </si>
  <si>
    <t>$y = 2(x - 6)^2 - 18$</t>
  </si>
  <si>
    <t>$y = 2(x - 9)(x - 3)$</t>
  </si>
  <si>
    <t>AB= 12 and DB = 12.</t>
  </si>
  <si>
    <t>AB = 12 and EB = 12.</t>
  </si>
  <si>
    <t>Triangles ABC and EBD are isosceles.</t>
  </si>
  <si>
    <t>The value of a painting increased by 179\% from the end of 2017 to the end of 2018 and then decreased by 23\% from the end of 2018 to the end of 2019.</t>
  </si>
  <si>
    <r>
      <rPr>
        <rFont val="Arial"/>
        <i val="0"/>
        <color rgb="FF000000"/>
        <sz val="10.0"/>
      </rPr>
      <t xml:space="preserve">In the </t>
    </r>
    <r>
      <rPr>
        <rFont val="Arial"/>
        <i/>
        <color rgb="FF000000"/>
        <sz val="10.0"/>
      </rPr>
      <t>xy</t>
    </r>
    <r>
      <rPr>
        <rFont val="Arial"/>
        <i val="0"/>
        <color rgb="FF000000"/>
        <sz val="10.0"/>
      </rPr>
      <t>-plane, an equation of circle A is $(x - 5)^2 + (y - 7)^2 = 16.$ Circle B has the same center as circle A but has a radius that is twice the radius of circle A. Which equation represents circle B?</t>
    </r>
  </si>
  <si>
    <t>What was the net percentage increase in the value of the painting from the end of 2017 to the end of 2019?</t>
  </si>
  <si>
    <t>114.83\%</t>
  </si>
  <si>
    <t>137.83\%</t>
  </si>
  <si>
    <t>156.00\%</t>
  </si>
  <si>
    <t>243.17\%</t>
  </si>
  <si>
    <r>
      <rPr>
        <rFont val="Arial"/>
        <color rgb="FF000000"/>
        <sz val="10.0"/>
      </rPr>
      <t>$\frac</t>
    </r>
    <r>
      <rPr>
        <rFont val="Arial"/>
        <color rgb="FF000000"/>
        <sz val="10.0"/>
        <u/>
      </rPr>
      <t>27</t>
    </r>
    <r>
      <rPr>
        <rFont val="Arial"/>
        <color rgb="FF000000"/>
        <sz val="10.0"/>
      </rPr>
      <t xml:space="preserve"> (2x + 7) \left( x + \sqrt</t>
    </r>
    <r>
      <rPr>
        <rFont val="Arial"/>
        <color rgb="FF000000"/>
        <sz val="10.0"/>
        <u/>
      </rPr>
      <t>2k+7</t>
    </r>
    <r>
      <rPr>
        <rFont val="Arial"/>
        <color rgb="FF000000"/>
        <sz val="10.0"/>
      </rPr>
      <t xml:space="preserve"> \right) \left( x - \sqrt</t>
    </r>
    <r>
      <rPr>
        <rFont val="Arial"/>
        <color rgb="FF000000"/>
        <sz val="10.0"/>
        <u/>
      </rPr>
      <t>2k+7</t>
    </r>
    <r>
      <rPr>
        <rFont val="Arial"/>
        <color rgb="FF000000"/>
        <sz val="10.0"/>
      </rPr>
      <t xml:space="preserve"> \right) = 0$
In the given equation, $k$ is a positive constant. The product of the solutions to the equation is 63.</t>
    </r>
  </si>
  <si>
    <t>What is the value of $k$?</t>
  </si>
  <si>
    <t>$4x^2 - px + w = -87$
In the given equation, $p$ and $w$ are integer constants. The equation has exactly one real solution. Which is NOT a possible value of $w$?</t>
  </si>
  <si>
    <t>Question 17
A 
B) 
C) 
D)</t>
  </si>
  <si>
    <r>
      <rPr>
        <rFont val="Arial"/>
        <color rgb="FF000000"/>
        <sz val="10.0"/>
      </rPr>
      <t>The table shown summarizes the number of employees at each of the 13 stores in a shopping plaza.
\begin</t>
    </r>
    <r>
      <rPr>
        <rFont val="Arial"/>
        <color rgb="FF000000"/>
        <sz val="10.0"/>
        <u/>
      </rPr>
      <t>array|c|c|</t>
    </r>
    <r>
      <rPr>
        <rFont val="Arial"/>
        <color rgb="FF000000"/>
        <sz val="10.0"/>
      </rPr>
      <t xml:space="preserve">
\hline
\text</t>
    </r>
    <r>
      <rPr>
        <rFont val="Arial"/>
        <color rgb="FF000000"/>
        <sz val="10.0"/>
        <u/>
      </rPr>
      <t>Number of employees</t>
    </r>
    <r>
      <rPr>
        <rFont val="Arial"/>
        <color rgb="FF000000"/>
        <sz val="10.0"/>
      </rPr>
      <t xml:space="preserve"> &amp; \text</t>
    </r>
    <r>
      <rPr>
        <rFont val="Arial"/>
        <color rgb="FF000000"/>
        <sz val="10.0"/>
        <u/>
      </rPr>
      <t>Number of stores</t>
    </r>
    <r>
      <rPr>
        <rFont val="Arial"/>
        <color rgb="FF000000"/>
        <sz val="10.0"/>
      </rPr>
      <t xml:space="preserve"> \\
\hline
1 \text</t>
    </r>
    <r>
      <rPr>
        <rFont val="Arial"/>
        <color rgb="FF000000"/>
        <sz val="10.0"/>
        <u/>
      </rPr>
      <t xml:space="preserve"> to </t>
    </r>
    <r>
      <rPr>
        <rFont val="Arial"/>
        <color rgb="FF000000"/>
        <sz val="10.0"/>
      </rPr>
      <t xml:space="preserve"> 6 &amp; 2 \\
7 \text</t>
    </r>
    <r>
      <rPr>
        <rFont val="Arial"/>
        <color rgb="FF000000"/>
        <sz val="10.0"/>
        <u/>
      </rPr>
      <t xml:space="preserve"> to </t>
    </r>
    <r>
      <rPr>
        <rFont val="Arial"/>
        <color rgb="FF000000"/>
        <sz val="10.0"/>
      </rPr>
      <t xml:space="preserve"> 12 &amp; 3 \\
13 \text</t>
    </r>
    <r>
      <rPr>
        <rFont val="Arial"/>
        <color rgb="FF000000"/>
        <sz val="10.0"/>
        <u/>
      </rPr>
      <t xml:space="preserve"> to </t>
    </r>
    <r>
      <rPr>
        <rFont val="Arial"/>
        <color rgb="FF000000"/>
        <sz val="10.0"/>
      </rPr>
      <t xml:space="preserve"> 18 &amp; 1 \\
19 \text</t>
    </r>
    <r>
      <rPr>
        <rFont val="Arial"/>
        <color rgb="FF000000"/>
        <sz val="10.0"/>
        <u/>
      </rPr>
      <t xml:space="preserve"> to </t>
    </r>
    <r>
      <rPr>
        <rFont val="Arial"/>
        <color rgb="FF000000"/>
        <sz val="10.0"/>
      </rPr>
      <t xml:space="preserve"> 24 &amp; 6 \\
25 \text</t>
    </r>
    <r>
      <rPr>
        <rFont val="Arial"/>
        <color rgb="FF000000"/>
        <sz val="10.0"/>
        <u/>
      </rPr>
      <t xml:space="preserve"> to </t>
    </r>
    <r>
      <rPr>
        <rFont val="Arial"/>
        <color rgb="FF000000"/>
        <sz val="10.0"/>
      </rPr>
      <t xml:space="preserve"> 30 &amp; 1 \\
\hline
\end</t>
    </r>
    <r>
      <rPr>
        <rFont val="Arial"/>
        <color rgb="FF000000"/>
        <sz val="10.0"/>
        <u/>
      </rPr>
      <t>array</t>
    </r>
  </si>
  <si>
    <r>
      <rPr>
        <rFont val="Arial"/>
        <color rgb="FF000000"/>
        <sz val="10.0"/>
      </rPr>
      <t>\begin</t>
    </r>
    <r>
      <rPr>
        <rFont val="Arial"/>
        <color rgb="FF000000"/>
        <sz val="10.0"/>
        <u/>
      </rPr>
      <t>array|c|c|</t>
    </r>
    <r>
      <rPr>
        <rFont val="Arial"/>
        <color rgb="FF000000"/>
        <sz val="10.0"/>
      </rPr>
      <t>\hline \text</t>
    </r>
    <r>
      <rPr>
        <rFont val="Arial"/>
        <color rgb="FF000000"/>
        <sz val="10.0"/>
        <u/>
      </rPr>
      <t>Area (square inches)</t>
    </r>
    <r>
      <rPr>
        <rFont val="Arial"/>
        <color rgb="FF000000"/>
        <sz val="10.0"/>
      </rPr>
      <t xml:space="preserve"> \\ \hline \text</t>
    </r>
    <r>
      <rPr>
        <rFont val="Arial"/>
        <color rgb="FF000000"/>
        <sz val="10.0"/>
        <u/>
      </rPr>
      <t xml:space="preserve">Trapezoid </t>
    </r>
    <r>
      <rPr>
        <rFont val="Arial"/>
        <color rgb="FF000000"/>
        <sz val="10.0"/>
      </rPr>
      <t xml:space="preserve"> ABCD &amp; 440 \\ \text</t>
    </r>
    <r>
      <rPr>
        <rFont val="Arial"/>
        <color rgb="FF000000"/>
        <sz val="10.0"/>
        <u/>
      </rPr>
      <t xml:space="preserve">Trapezoid </t>
    </r>
    <r>
      <rPr>
        <rFont val="Arial"/>
        <color rgb="FF000000"/>
        <sz val="10.0"/>
      </rPr>
      <t xml:space="preserve"> EFGH &amp; 11,000 \\ \hline \end</t>
    </r>
    <r>
      <rPr>
        <rFont val="Arial"/>
        <color rgb="FF000000"/>
        <sz val="10.0"/>
        <u/>
      </rPr>
      <t>array</t>
    </r>
    <r>
      <rPr>
        <rFont val="Arial"/>
        <color rgb="FF000000"/>
        <sz val="10.0"/>
      </rPr>
      <t xml:space="preserve">
Trapezoid $ABCD$ is similar to trapezoid $EFGH$, where $A$, $B$, $C$, and $D$ correspond to $E$, $F$, $G$, and $H$, respectively. The length of side $AB$ is 55 inches. What is the length, in inches, of side $EF$?</t>
    </r>
  </si>
  <si>
    <t>What is the length, in inches, of side $EF$?</t>
  </si>
  <si>
    <t>In triangle JKL, the measure of angle J is $(90b)^\circ$, the measure of angle K is $(69a)^\circ$, and the measure of angle L is $(21a)^\circ$, where $a$ and $b$ are constants. Which of the following must be true?</t>
  </si>
  <si>
    <t>\cos L &gt; \sin K</t>
  </si>
  <si>
    <t>\cos L = \sin K</t>
  </si>
  <si>
    <t>\cos L &lt; \sin K</t>
  </si>
  <si>
    <t>There is not enough information to compare the values of \cos L and \sin K</t>
  </si>
  <si>
    <t>Question 21
A 
B) 
C) 
D)</t>
  </si>
  <si>
    <t>Question 22
A 
B) 
C) 
D)</t>
  </si>
  <si>
    <r>
      <rPr>
        <rFont val="Arial"/>
        <color rgb="FF000000"/>
        <sz val="10.0"/>
      </rPr>
      <t>$q(x) = 12\ (2^</t>
    </r>
    <r>
      <rPr>
        <rFont val="Arial"/>
        <color rgb="FF000000"/>
        <sz val="10.0"/>
        <u/>
      </rPr>
      <t>x</t>
    </r>
    <r>
      <rPr>
        <rFont val="Arial"/>
        <color rgb="FF000000"/>
        <sz val="10.0"/>
      </rPr>
      <t>)$
Which table gives three values of $x$ and their corresponding values of $q(x)$ for function $q$?</t>
    </r>
  </si>
  <si>
    <r>
      <rPr>
        <rFont val="Arial"/>
        <color rgb="FF000000"/>
        <sz val="10.0"/>
      </rPr>
      <t>\sqrt</t>
    </r>
    <r>
      <rPr>
        <rFont val="Arial"/>
        <color rgb="FF000000"/>
        <sz val="10.0"/>
        <u/>
      </rPr>
      <t>20</t>
    </r>
  </si>
  <si>
    <r>
      <rPr>
        <rFont val="Arial"/>
        <color rgb="FF000000"/>
        <sz val="10.0"/>
      </rPr>
      <t>The length of a rectangle's diagonal is $\sqrt</t>
    </r>
    <r>
      <rPr>
        <rFont val="Arial"/>
        <color rgb="FF000000"/>
        <sz val="10.0"/>
        <u/>
      </rPr>
      <t>34</t>
    </r>
    <r>
      <rPr>
        <rFont val="Arial"/>
        <color rgb="FF000000"/>
        <sz val="10.0"/>
      </rPr>
      <t>$, and the length of one of the rectangle's sides is 5. What is the perimeter of the rectangle?</t>
    </r>
  </si>
  <si>
    <r>
      <rPr>
        <rFont val="Arial"/>
        <color rgb="FF000000"/>
        <sz val="10.0"/>
      </rPr>
      <t>\[
\begin</t>
    </r>
    <r>
      <rPr>
        <rFont val="Arial"/>
        <color rgb="FF000000"/>
        <sz val="10.0"/>
        <u/>
      </rPr>
      <t>array|c|c|</t>
    </r>
    <r>
      <rPr>
        <rFont val="Arial"/>
        <color rgb="FF000000"/>
        <sz val="10.0"/>
      </rPr>
      <t xml:space="preserve">
\hline
x &amp; t(x) \\
\hline
29 &amp; 15 \\
32 &amp; \frac</t>
    </r>
    <r>
      <rPr>
        <rFont val="Arial"/>
        <color rgb="FF000000"/>
        <sz val="10.0"/>
        <u/>
      </rPr>
      <t>332</t>
    </r>
    <r>
      <rPr>
        <rFont val="Arial"/>
        <color rgb="FF000000"/>
        <sz val="10.0"/>
      </rPr>
      <t xml:space="preserve"> \\
51 &amp; 26 \\
\hline
\end</t>
    </r>
    <r>
      <rPr>
        <rFont val="Arial"/>
        <color rgb="FF000000"/>
        <sz val="10.0"/>
        <u/>
      </rPr>
      <t>array</t>
    </r>
    <r>
      <rPr>
        <rFont val="Arial"/>
        <color rgb="FF000000"/>
        <sz val="10.0"/>
      </rPr>
      <t xml:space="preserve">
\] For the linear function $t$, the table shows three values of $x$ and their corresponding values of $t(x)$. Function $v$ is defined by $v(x) = t(x) - 4$.</t>
    </r>
  </si>
  <si>
    <r>
      <rPr>
        <rFont val="Arial"/>
        <color rgb="FF000000"/>
        <sz val="10.0"/>
      </rPr>
      <t>What is the x-intercept of a line in the xy-plane that has a slope of $-\frac</t>
    </r>
    <r>
      <rPr>
        <rFont val="Arial"/>
        <color rgb="FF000000"/>
        <sz val="10.0"/>
        <u/>
      </rPr>
      <t>47</t>
    </r>
    <r>
      <rPr>
        <rFont val="Arial"/>
        <color rgb="FF000000"/>
        <sz val="10.0"/>
      </rPr>
      <t>$ and passes through the point $(0, 12)$?</t>
    </r>
  </si>
  <si>
    <r>
      <rPr>
        <rFont val="Arial"/>
        <color rgb="FF000000"/>
        <sz val="10.0"/>
      </rPr>
      <t>The expression $\frac</t>
    </r>
    <r>
      <rPr>
        <rFont val="Arial"/>
        <color rgb="FF000000"/>
        <sz val="10.0"/>
        <u/>
      </rPr>
      <t>6x^241</t>
    </r>
    <r>
      <rPr>
        <rFont val="Arial"/>
        <color rgb="FF000000"/>
        <sz val="10.0"/>
      </rPr>
      <t>8</t>
    </r>
    <r>
      <rPr>
        <rFont val="Arial"/>
        <color rgb="FF000000"/>
        <sz val="10.0"/>
        <u/>
      </rPr>
      <t xml:space="preserve">x^7$ </t>
    </r>
    <r>
      <rPr>
        <rFont val="Arial"/>
        <color rgb="FF000000"/>
        <sz val="10.0"/>
      </rPr>
      <t>is equivalent to $\frac13</t>
    </r>
    <r>
      <rPr>
        <rFont val="Arial"/>
        <color rgb="FF000000"/>
        <sz val="10.0"/>
        <u/>
      </rPr>
      <t xml:space="preserve"> x</t>
    </r>
    <r>
      <rPr>
        <rFont val="Arial"/>
        <color rgb="FF000000"/>
        <sz val="10.0"/>
      </rPr>
      <t>^b$, where $b$ is a constant and $x &gt; 0$. What is the value of $b$?</t>
    </r>
  </si>
  <si>
    <r>
      <rPr>
        <rFont val="Arial"/>
        <i val="0"/>
        <color rgb="FF000000"/>
        <sz val="10.0"/>
      </rPr>
      <t xml:space="preserve">In the </t>
    </r>
    <r>
      <rPr>
        <rFont val="Arial"/>
        <i/>
        <color rgb="FF000000"/>
        <sz val="10.0"/>
      </rPr>
      <t>xy</t>
    </r>
    <r>
      <rPr>
        <rFont val="Arial"/>
        <i val="0"/>
        <color rgb="FF000000"/>
        <sz val="10.0"/>
      </rPr>
      <t>-plane, an equation of circle A is $(x - 5)^2 + (y - 7)^2 = 16.$ Circle B has the same center as circle A but has a radius that is twice the radius of circle A. Which equation represents circle B?</t>
    </r>
  </si>
  <si>
    <r>
      <rPr>
        <rFont val="Arial"/>
        <color rgb="FF000000"/>
        <sz val="10.0"/>
      </rPr>
      <t>The table shown summarizes the number of employees at each of the 13 stores in a shopping plaza.
\begin</t>
    </r>
    <r>
      <rPr>
        <rFont val="Arial"/>
        <color rgb="FF000000"/>
        <sz val="10.0"/>
        <u/>
      </rPr>
      <t>array|c|c|</t>
    </r>
    <r>
      <rPr>
        <rFont val="Arial"/>
        <color rgb="FF000000"/>
        <sz val="10.0"/>
      </rPr>
      <t xml:space="preserve">
\hline
\text</t>
    </r>
    <r>
      <rPr>
        <rFont val="Arial"/>
        <color rgb="FF000000"/>
        <sz val="10.0"/>
        <u/>
      </rPr>
      <t>Number of employees</t>
    </r>
    <r>
      <rPr>
        <rFont val="Arial"/>
        <color rgb="FF000000"/>
        <sz val="10.0"/>
      </rPr>
      <t xml:space="preserve"> &amp; \text</t>
    </r>
    <r>
      <rPr>
        <rFont val="Arial"/>
        <color rgb="FF000000"/>
        <sz val="10.0"/>
        <u/>
      </rPr>
      <t>Number of stores</t>
    </r>
    <r>
      <rPr>
        <rFont val="Arial"/>
        <color rgb="FF000000"/>
        <sz val="10.0"/>
      </rPr>
      <t xml:space="preserve"> \\
\hline
1 \text</t>
    </r>
    <r>
      <rPr>
        <rFont val="Arial"/>
        <color rgb="FF000000"/>
        <sz val="10.0"/>
        <u/>
      </rPr>
      <t xml:space="preserve"> to </t>
    </r>
    <r>
      <rPr>
        <rFont val="Arial"/>
        <color rgb="FF000000"/>
        <sz val="10.0"/>
      </rPr>
      <t xml:space="preserve"> 6 &amp; 2 \\
7 \text</t>
    </r>
    <r>
      <rPr>
        <rFont val="Arial"/>
        <color rgb="FF000000"/>
        <sz val="10.0"/>
        <u/>
      </rPr>
      <t xml:space="preserve"> to </t>
    </r>
    <r>
      <rPr>
        <rFont val="Arial"/>
        <color rgb="FF000000"/>
        <sz val="10.0"/>
      </rPr>
      <t xml:space="preserve"> 12 &amp; 3 \\
13 \text</t>
    </r>
    <r>
      <rPr>
        <rFont val="Arial"/>
        <color rgb="FF000000"/>
        <sz val="10.0"/>
        <u/>
      </rPr>
      <t xml:space="preserve"> to </t>
    </r>
    <r>
      <rPr>
        <rFont val="Arial"/>
        <color rgb="FF000000"/>
        <sz val="10.0"/>
      </rPr>
      <t xml:space="preserve"> 18 &amp; 1 \\
19 \text</t>
    </r>
    <r>
      <rPr>
        <rFont val="Arial"/>
        <color rgb="FF000000"/>
        <sz val="10.0"/>
        <u/>
      </rPr>
      <t xml:space="preserve"> to </t>
    </r>
    <r>
      <rPr>
        <rFont val="Arial"/>
        <color rgb="FF000000"/>
        <sz val="10.0"/>
      </rPr>
      <t xml:space="preserve"> 24 &amp; 6 \\
25 \text</t>
    </r>
    <r>
      <rPr>
        <rFont val="Arial"/>
        <color rgb="FF000000"/>
        <sz val="10.0"/>
        <u/>
      </rPr>
      <t xml:space="preserve"> to </t>
    </r>
    <r>
      <rPr>
        <rFont val="Arial"/>
        <color rgb="FF000000"/>
        <sz val="10.0"/>
      </rPr>
      <t xml:space="preserve"> 30 &amp; 1 \\
\hline
\end</t>
    </r>
    <r>
      <rPr>
        <rFont val="Arial"/>
        <color rgb="FF000000"/>
        <sz val="10.0"/>
        <u/>
      </rPr>
      <t>array</t>
    </r>
  </si>
  <si>
    <r>
      <rPr>
        <rFont val="Arial"/>
        <color rgb="FF000000"/>
        <sz val="10.0"/>
      </rPr>
      <t>\frac</t>
    </r>
    <r>
      <rPr>
        <rFont val="Arial"/>
        <color rgb="FF000000"/>
        <sz val="10.0"/>
        <u/>
      </rPr>
      <t>-3 \pm \sqrt132</t>
    </r>
  </si>
  <si>
    <r>
      <rPr>
        <rFont val="Arial"/>
        <color rgb="FF000000"/>
        <sz val="10.0"/>
      </rPr>
      <t>Line $s$ is perpendicular to line $t$ in the $xy$-plane. Line $s$ passes through the points $(6, \frac</t>
    </r>
    <r>
      <rPr>
        <rFont val="Arial"/>
        <color rgb="FF000000"/>
        <sz val="10.0"/>
        <u/>
      </rPr>
      <t>78</t>
    </r>
    <r>
      <rPr>
        <rFont val="Arial"/>
        <color rgb="FF000000"/>
        <sz val="10.0"/>
      </rPr>
      <t>)$ and $(-3, -\frac</t>
    </r>
    <r>
      <rPr>
        <rFont val="Arial"/>
        <color rgb="FF000000"/>
        <sz val="10.0"/>
        <u/>
      </rPr>
      <t>178</t>
    </r>
    <r>
      <rPr>
        <rFont val="Arial"/>
        <color rgb="FF000000"/>
        <sz val="10.0"/>
      </rPr>
      <t>)$. Line $t$ passes through the points $(-8, 39)$ and $(k, 78)$. What is the value of $k?</t>
    </r>
  </si>
  <si>
    <r>
      <rPr>
        <rFont val="Arial"/>
        <color rgb="FF000000"/>
        <sz val="10.0"/>
      </rPr>
      <t>$q(x) = 12\ (2^</t>
    </r>
    <r>
      <rPr>
        <rFont val="Arial"/>
        <color rgb="FF000000"/>
        <sz val="10.0"/>
        <u/>
      </rPr>
      <t>x</t>
    </r>
    <r>
      <rPr>
        <rFont val="Arial"/>
        <color rgb="FF000000"/>
        <sz val="10.0"/>
      </rPr>
      <t>)$
Which table gives three values of $x$ and their corresponding values of $q(x)$ for function $q$?</t>
    </r>
  </si>
  <si>
    <r>
      <rPr>
        <rFont val="Arial"/>
        <i val="0"/>
        <color rgb="FF000000"/>
        <sz val="10.0"/>
      </rPr>
      <t xml:space="preserve">The following text is from Charles Chesnutt's 1905 novel The Colonel's Dream. Mr. French and Mr. Kirby work together.
Mr. French, the senior partner, who sat opposite Kirby, was an older man ---a safe guess would have placed him somewhere in the debatable ground between forty and fifty; of a </t>
    </r>
    <r>
      <rPr>
        <rFont val="Arial"/>
        <i/>
        <color rgb="FF000000"/>
        <sz val="10.0"/>
      </rPr>
      <t>good</t>
    </r>
    <r>
      <rPr>
        <rFont val="Arial"/>
        <i val="0"/>
        <color rgb="FF000000"/>
        <sz val="10.0"/>
      </rPr>
      <t xml:space="preserve"> height, as could be seen even from the seated figure, the upper part of which was held erect with the unconscious ease which one associates with military training.</t>
    </r>
  </si>
  <si>
    <r>
      <rPr>
        <rFont val="Arial"/>
        <color rgb="FF000000"/>
        <sz val="10.0"/>
      </rPr>
      <t>The length of a rectangle's diagonal is $\sqrt</t>
    </r>
    <r>
      <rPr>
        <rFont val="Arial"/>
        <color rgb="FF000000"/>
        <sz val="10.0"/>
        <u/>
      </rPr>
      <t>34</t>
    </r>
    <r>
      <rPr>
        <rFont val="Arial"/>
        <color rgb="FF000000"/>
        <sz val="10.0"/>
      </rPr>
      <t>$, and the length of one of the rectangle's sides is 5. What is the perimeter of the rectangle?</t>
    </r>
  </si>
  <si>
    <r>
      <rPr>
        <rFont val="Arial"/>
        <color rgb="FF000000"/>
        <sz val="10.0"/>
      </rPr>
      <t>The expression $\frac</t>
    </r>
    <r>
      <rPr>
        <rFont val="Arial"/>
        <color rgb="FF000000"/>
        <sz val="10.0"/>
        <u/>
      </rPr>
      <t>6x^241</t>
    </r>
    <r>
      <rPr>
        <rFont val="Arial"/>
        <color rgb="FF000000"/>
        <sz val="10.0"/>
      </rPr>
      <t>8</t>
    </r>
    <r>
      <rPr>
        <rFont val="Arial"/>
        <color rgb="FF000000"/>
        <sz val="10.0"/>
        <u/>
      </rPr>
      <t xml:space="preserve">x^7$ </t>
    </r>
    <r>
      <rPr>
        <rFont val="Arial"/>
        <color rgb="FF000000"/>
        <sz val="10.0"/>
      </rPr>
      <t>is equivalent to $\frac13</t>
    </r>
    <r>
      <rPr>
        <rFont val="Arial"/>
        <color rgb="FF000000"/>
        <sz val="10.0"/>
        <u/>
      </rPr>
      <t xml:space="preserve"> x</t>
    </r>
    <r>
      <rPr>
        <rFont val="Arial"/>
        <color rgb="FF000000"/>
        <sz val="10.0"/>
      </rPr>
      <t>^b$, where $b$ is a constant and $x &gt; 0$. What is the value of $b$?</t>
    </r>
  </si>
  <si>
    <t>What is the value of the expression if $x = 3$?</t>
  </si>
  <si>
    <t>Which equation represents the line passing through the points (2,3) and (4,7)?</t>
  </si>
  <si>
    <t>$y = x - 1$</t>
  </si>
  <si>
    <t>$y = 2x$</t>
  </si>
  <si>
    <t>$y = 2x - 1$</t>
  </si>
  <si>
    <r>
      <rPr>
        <rFont val="Arial"/>
        <color rgb="FF000000"/>
        <sz val="10.0"/>
      </rPr>
      <t>$\frac</t>
    </r>
    <r>
      <rPr>
        <rFont val="Arial"/>
        <color rgb="FF000000"/>
        <sz val="10.0"/>
        <u/>
      </rPr>
      <t>27</t>
    </r>
    <r>
      <rPr>
        <rFont val="Arial"/>
        <color rgb="FF000000"/>
        <sz val="10.0"/>
      </rPr>
      <t xml:space="preserve"> (2x + 7) \left( x + \sqrt</t>
    </r>
    <r>
      <rPr>
        <rFont val="Arial"/>
        <color rgb="FF000000"/>
        <sz val="10.0"/>
        <u/>
      </rPr>
      <t>2k+7</t>
    </r>
    <r>
      <rPr>
        <rFont val="Arial"/>
        <color rgb="FF000000"/>
        <sz val="10.0"/>
      </rPr>
      <t xml:space="preserve"> \right) \left( x - \sqrt</t>
    </r>
    <r>
      <rPr>
        <rFont val="Arial"/>
        <color rgb="FF000000"/>
        <sz val="10.0"/>
        <u/>
      </rPr>
      <t>2k+7</t>
    </r>
    <r>
      <rPr>
        <rFont val="Arial"/>
        <color rgb="FF000000"/>
        <sz val="10.0"/>
      </rPr>
      <t xml:space="preserve"> \right) = 0$
In the given equation, $k$ is a positive constant. The product of the solutions to the equation is 63.</t>
    </r>
  </si>
  <si>
    <t>$y = 2x + 1$</t>
  </si>
  <si>
    <t>What is the area of a circle with radius 7?</t>
  </si>
  <si>
    <t>$49\pi$</t>
  </si>
  <si>
    <t>$14\pi$</t>
  </si>
  <si>
    <t>$21\pi$</t>
  </si>
  <si>
    <t>$28\pi$</t>
  </si>
  <si>
    <t>How many permutations of the letters in 'ABCDE' are there?</t>
  </si>
  <si>
    <r>
      <rPr>
        <rFont val="Arial"/>
        <color rgb="FF000000"/>
        <sz val="10.0"/>
      </rPr>
      <t>\frac</t>
    </r>
    <r>
      <rPr>
        <rFont val="Arial"/>
        <color rgb="FF000000"/>
        <sz val="10.0"/>
        <u/>
      </rPr>
      <t>-3 \pm \sqrt132</t>
    </r>
  </si>
  <si>
    <t>Find the sum of the first 5 odd numbers.</t>
  </si>
  <si>
    <r>
      <rPr>
        <rFont val="Arial"/>
        <color rgb="FF000000"/>
        <sz val="10.0"/>
      </rPr>
      <t>\begin</t>
    </r>
    <r>
      <rPr>
        <rFont val="Arial"/>
        <color rgb="FF000000"/>
        <sz val="10.0"/>
        <u/>
      </rPr>
      <t>array|c|c|</t>
    </r>
    <r>
      <rPr>
        <rFont val="Arial"/>
        <color rgb="FF000000"/>
        <sz val="10.0"/>
      </rPr>
      <t>\hline \text</t>
    </r>
    <r>
      <rPr>
        <rFont val="Arial"/>
        <color rgb="FF000000"/>
        <sz val="10.0"/>
        <u/>
      </rPr>
      <t>Area (square inches)</t>
    </r>
    <r>
      <rPr>
        <rFont val="Arial"/>
        <color rgb="FF000000"/>
        <sz val="10.0"/>
      </rPr>
      <t xml:space="preserve"> \\ \hline \text</t>
    </r>
    <r>
      <rPr>
        <rFont val="Arial"/>
        <color rgb="FF000000"/>
        <sz val="10.0"/>
        <u/>
      </rPr>
      <t xml:space="preserve">Trapezoid </t>
    </r>
    <r>
      <rPr>
        <rFont val="Arial"/>
        <color rgb="FF000000"/>
        <sz val="10.0"/>
      </rPr>
      <t xml:space="preserve"> ABCD &amp; 440 \\ \text</t>
    </r>
    <r>
      <rPr>
        <rFont val="Arial"/>
        <color rgb="FF000000"/>
        <sz val="10.0"/>
        <u/>
      </rPr>
      <t xml:space="preserve">Trapezoid </t>
    </r>
    <r>
      <rPr>
        <rFont val="Arial"/>
        <color rgb="FF000000"/>
        <sz val="10.0"/>
      </rPr>
      <t xml:space="preserve"> EFGH &amp; 11,000 \\ \hline \end</t>
    </r>
    <r>
      <rPr>
        <rFont val="Arial"/>
        <color rgb="FF000000"/>
        <sz val="10.0"/>
        <u/>
      </rPr>
      <t>array</t>
    </r>
    <r>
      <rPr>
        <rFont val="Arial"/>
        <color rgb="FF000000"/>
        <sz val="10.0"/>
      </rPr>
      <t xml:space="preserve">
Trapezoid $ABCD$ is similar to trapezoid $EFGH$, where $A$, $B$, $C$, and $D$ correspond to $E$, $F$, $G$, and $H$, respectively. The length of side $AB$ is 55 inches. What is the length, in inches, of side $EF$?</t>
    </r>
  </si>
  <si>
    <r>
      <rPr>
        <rFont val="Arial"/>
        <color rgb="FF000000"/>
        <sz val="10.0"/>
      </rPr>
      <t>If $f(x) = 2x + 3$, what is $f^</t>
    </r>
    <r>
      <rPr>
        <rFont val="Arial"/>
        <color rgb="FF000000"/>
        <sz val="10.0"/>
        <u/>
      </rPr>
      <t>-1</t>
    </r>
    <r>
      <rPr>
        <rFont val="Arial"/>
        <color rgb="FF000000"/>
        <sz val="10.0"/>
      </rPr>
      <t>(x)$?</t>
    </r>
  </si>
  <si>
    <t>$2x - 3$</t>
  </si>
  <si>
    <r>
      <rPr>
        <rFont val="Arial"/>
        <color rgb="FF000000"/>
        <sz val="10.0"/>
      </rPr>
      <t>$-\frac</t>
    </r>
    <r>
      <rPr>
        <rFont val="Arial"/>
        <color rgb="FF000000"/>
        <sz val="10.0"/>
        <u/>
      </rPr>
      <t>x2</t>
    </r>
    <r>
      <rPr>
        <rFont val="Arial"/>
        <color rgb="FF000000"/>
        <sz val="10.0"/>
      </rPr>
      <t xml:space="preserve"> - \frac</t>
    </r>
    <r>
      <rPr>
        <rFont val="Arial"/>
        <color rgb="FF000000"/>
        <sz val="10.0"/>
        <u/>
      </rPr>
      <t>32</t>
    </r>
    <r>
      <rPr>
        <rFont val="Arial"/>
        <color rgb="FF000000"/>
        <sz val="10.0"/>
      </rPr>
      <t>$</t>
    </r>
  </si>
  <si>
    <r>
      <rPr>
        <rFont val="Arial"/>
        <color rgb="FF000000"/>
        <sz val="10.0"/>
      </rPr>
      <t>$\frac</t>
    </r>
    <r>
      <rPr>
        <rFont val="Arial"/>
        <color rgb="FF000000"/>
        <sz val="10.0"/>
        <u/>
      </rPr>
      <t>x - 32</t>
    </r>
    <r>
      <rPr>
        <rFont val="Arial"/>
        <color rgb="FF000000"/>
        <sz val="10.0"/>
      </rPr>
      <t>$</t>
    </r>
  </si>
  <si>
    <t>$x - 5$</t>
  </si>
  <si>
    <t>Which inequality represents the statement: The sum of a number and 5 is at least 12?</t>
  </si>
  <si>
    <t>$x + 5 &lt; 12$</t>
  </si>
  <si>
    <t>$x + 5 &gt; 12$</t>
  </si>
  <si>
    <t>$x + 5 \leq 12$</t>
  </si>
  <si>
    <t>$x + 5 \geq 12$</t>
  </si>
  <si>
    <t>Solve for x: $3x - 4 = 17$.</t>
  </si>
  <si>
    <t>What is 15% of 500?</t>
  </si>
  <si>
    <r>
      <rPr>
        <rFont val="Arial"/>
        <color rgb="FF000000"/>
        <sz val="10.0"/>
      </rPr>
      <t>Find the value of $32^\frac</t>
    </r>
    <r>
      <rPr>
        <rFont val="Arial"/>
        <color rgb="FF000000"/>
        <sz val="10.0"/>
        <u/>
      </rPr>
      <t>15</t>
    </r>
    <r>
      <rPr>
        <rFont val="Arial"/>
        <color rgb="FF000000"/>
        <sz val="10.0"/>
      </rPr>
      <t>$.</t>
    </r>
  </si>
  <si>
    <t>If $a + b = 10$ and $a - b = 4$, what is the value of $a$?</t>
  </si>
  <si>
    <r>
      <rPr>
        <rFont val="Arial"/>
        <color rgb="FF000000"/>
        <sz val="10.0"/>
      </rPr>
      <t xml:space="preserve">What is the mode of the following set of numbers? </t>
    </r>
    <r>
      <rPr>
        <rFont val="Arial"/>
        <color rgb="FF000000"/>
        <sz val="10.0"/>
        <u/>
      </rPr>
      <t>5, 8, 12, 8, 6, 5, 8</t>
    </r>
  </si>
  <si>
    <t>Which angle measure is supplementary to a 55-degree angle?</t>
  </si>
  <si>
    <t>Find the mean of the numbers: 8, 12, 14, 9, and 11.</t>
  </si>
  <si>
    <t>Solve: $5(x - 2) = 3x + 8$.</t>
  </si>
  <si>
    <t>$x = -1$</t>
  </si>
  <si>
    <t>$x = 2$</t>
  </si>
  <si>
    <t>$x = 3$</t>
  </si>
  <si>
    <t>$x = 4$</t>
  </si>
  <si>
    <t>How many degrees are there in a right angle?</t>
  </si>
  <si>
    <t>What is the value of $\lfloor 7.8 \rfloor$?</t>
  </si>
  <si>
    <t>Simplify the expression: $2(x - 3) + 4x$.</t>
  </si>
  <si>
    <t>$6x - 6$</t>
  </si>
  <si>
    <t>$6x + 6$</t>
  </si>
  <si>
    <t>$2x - 6$</t>
  </si>
  <si>
    <t>$2x + 6$</t>
  </si>
  <si>
    <t>Calculate the perimeter of a rectangle with length 8 and width 5.</t>
  </si>
  <si>
    <t>What is the product of 9 and 5?</t>
  </si>
  <si>
    <t>Solve for $x$ in the equation $2x^2 - 50 = 0$.</t>
  </si>
  <si>
    <t>$5$</t>
  </si>
  <si>
    <t>$10$</t>
  </si>
  <si>
    <t>$\pm5$</t>
  </si>
  <si>
    <t>$\pm10$</t>
  </si>
  <si>
    <t>What is the approximate square root of 27?</t>
  </si>
  <si>
    <t>Calculate the result of $11^2 - 16$.</t>
  </si>
  <si>
    <r>
      <rPr>
        <rFont val="Arial"/>
        <i val="0"/>
        <color rgb="FF000000"/>
        <sz val="10.0"/>
      </rPr>
      <t xml:space="preserve">The following text is adapted from Edith Wharton's 1911 novella Ethan Frome. The narrator has asked the woman he rents a room from about Ethan Frome, a town resident he encountered recently.
Her mind was a store-house of innocuous anecdote and any question about her acquaintances brought forth a volume of detail; but on the subject of Ethan Frome I found her unexpectedly reticent. There was no hint of disapproval in her </t>
    </r>
    <r>
      <rPr>
        <rFont val="Arial"/>
        <i/>
        <color rgb="FF000000"/>
        <sz val="10.0"/>
      </rPr>
      <t>reserve</t>
    </r>
    <r>
      <rPr>
        <rFont val="Arial"/>
        <i val="0"/>
        <color rgb="FF000000"/>
        <sz val="10.0"/>
      </rPr>
      <t>; I merely felt in her an insurmountable reluctance to speak of him.</t>
    </r>
  </si>
  <si>
    <t>How many centimeters are in 2.75 meters?</t>
  </si>
  <si>
    <t>If the volume of a cube is 64 cm$^3$, what is the length of a side?</t>
  </si>
  <si>
    <r>
      <rPr>
        <rFont val="Arial"/>
        <i val="0"/>
        <color rgb="FF000000"/>
        <sz val="10.0"/>
      </rPr>
      <t xml:space="preserve">The following text is from Billie Jean King's 2021 autobiography </t>
    </r>
    <r>
      <rPr>
        <rFont val="Arial"/>
        <i/>
        <color rgb="FF000000"/>
        <sz val="10.0"/>
      </rPr>
      <t>All In</t>
    </r>
    <r>
      <rPr>
        <rFont val="Arial"/>
        <i val="0"/>
        <color rgb="FF000000"/>
        <sz val="10.0"/>
      </rPr>
      <t>.
[P]eople on both sides of my family had repeatedly demonstrated an independent streak. In the end, that was the temperament I gravitated toward, too. Both the Moffitts and the members of my mother's clan, the Jermans, came from mining and oil-geyser towns on the western frontier. They kept their heads down and worked, worked, worked. But they also bucked convention.</t>
    </r>
  </si>
  <si>
    <r>
      <rPr>
        <rFont val="Arial"/>
        <i val="0"/>
        <color rgb="FF000000"/>
        <sz val="10.0"/>
      </rPr>
      <t xml:space="preserve">The following text is from Charles Chesnutt's 1905 novel The Colonel's Dream. Mr. French and Mr. Kirby work together.
Mr. French, the senior partner, who sat opposite Kirby, was an older man ---a safe guess would have placed him somewhere in the debatable ground between forty and fifty; of a </t>
    </r>
    <r>
      <rPr>
        <rFont val="Arial"/>
        <i/>
        <color rgb="FF000000"/>
        <sz val="10.0"/>
      </rPr>
      <t>good</t>
    </r>
    <r>
      <rPr>
        <rFont val="Arial"/>
        <i val="0"/>
        <color rgb="FF000000"/>
        <sz val="10.0"/>
      </rPr>
      <t xml:space="preserve"> height, as could be seen even from the seated figure, the upper part of which was held erect with the unconscious ease which one associates with military training.</t>
    </r>
  </si>
  <si>
    <t>The Apollo Moon landings (1969-1972) left charged particle detectors and equipment too heavy for liftoff on the Moon and produced large amounts of data. Researcher Philip Metzger, who is investigating the long-term effects of being on the Moon, continues to use Apollo's data, demonstrating that the missions' value to science ____</t>
  </si>
  <si>
    <t>The text argues that casting nonprofessional actors enhances realism.</t>
  </si>
  <si>
    <t>The text describes how Zhao's films explore personal and communal experiences.</t>
  </si>
  <si>
    <t>The text discusses Zhao's achievements in film festivals.</t>
  </si>
  <si>
    <t>The text explains how Zhao's films promote social change.</t>
  </si>
  <si>
    <t>To discuss how Chloe Zhao's background in documentary filmmaking has influenced her storytelling style in films</t>
  </si>
  <si>
    <t>To emphasize that Chloe Zhao's decisions during the filmmaking process reinforce the themes of her films</t>
  </si>
  <si>
    <t>To summarize how Chloe Zhao's style of filmmaking changed over the course of her career</t>
  </si>
  <si>
    <t>To argue that Chloe Zhao's films are best understood as documentaries</t>
  </si>
  <si>
    <t>Scientists studying marine ecosystems were surprised by the extent of internal carbon recycling by red coralline algae. While some ____ of carbon was expected, the scientists found that the algae reabsorb nearly 40% of the carbon dioxide they produce during calcification processes and harness it for photosynthesis.</t>
  </si>
  <si>
    <t>%GRAPH% Fish Population in a Taiwanese Tide Pool, January 2001 to October 2001</t>
  </si>
  <si>
    <t>Lin-Tai Ho and colleagues counted fish in a tide pool in Taiwan at several times during the year and found that some species had a significantly higher maximum population count than others. For example, the highest count for the combtooth blenny was 62 individuals in January of 2001, whereas the highest count for the striated rockskipper was _____ Which choice most effectively uses data from the graph to complete the example?</t>
  </si>
  <si>
    <t>Many art historians working before the 1970s produced detailed analyses of the social and cultural contexts of older artworks, though few extended that approach to artworks produced in their own lifetimes</t>
  </si>
  <si>
    <t>Art historians working today have largely rejected the idea, common among Baxandall’s predecessors, that artists' intentions should influence how artworks are interpreted.</t>
  </si>
  <si>
    <t>For some historical periods, it is difficult for art historians to reconstruct how the original viewers of artworks understood what artists' intentions for their works were.</t>
  </si>
  <si>
    <t>Numerous art historians of the late twentieth century and twenty-first century have focused their scholarship on how various artworks were interpreted at the time of their creation.</t>
  </si>
  <si>
    <t>Brown Bears in Katmai National Park, Alaska
Bear identification number | Sex | Age (years) | Approximate weight (pounds)
173 | female | 10 | 400
122 | male | 3 | 200
117 | female | 6 | 325
103 | male | 4 | 275
Scientists collected information about brown bears in Katmai National Park in Alaska. This information included each bear's sex, age, and approximate weight. For the bear with identification number 122, for example, the scientists recorded that the bear was ____</t>
  </si>
  <si>
    <t>Fish Population in a Taiwanese Tide Pool, January 2001 to October 2001
Lin-Tai Ho and colleagues counted fish in a tide pool in Taiwan at several times during the year and found that some species had a significantly higher maximum population count than others. For example, the highest count for the combtooth blenny was 62 individuals in January of 2001, whereas the highest count for the striated rockskipper was ____</t>
  </si>
  <si>
    <r>
      <rPr>
        <rFont val="Arial"/>
        <color rgb="FF000000"/>
        <sz val="10.0"/>
      </rPr>
      <t xml:space="preserve">In the early 1970s, art historian Michael Baxandall created an approach to viewing art called the "period eye," which explains how to look at art through the lens of its historical period. Baxandall argued that it is critical that art historians understand and communicate the original social and cultural contexts of older works of art so that it is clear what the artists intended and how the pieces would have been understood by their original viewers. </t>
    </r>
    <r>
      <rPr>
        <rFont val="Arial"/>
        <color rgb="FF000000"/>
        <sz val="10.0"/>
        <u/>
      </rPr>
      <t>Since it was first introduced, Baxandall's period eye has significantly influenced the practice of art history.</t>
    </r>
  </si>
  <si>
    <t>Art historians working today have largely rejected the idea, common among Baxandall's predecessors, that artists' intentions should influence how artworks are interpreted.</t>
  </si>
  <si>
    <t>Last-mile delivery refers to the final step in delivering packages to customers --- and this final step can be very difficult. Delivery companies are contending with the increasing popularity of next-day delivery and with complex and inefficient delivery routes, resulting in a growing bottleneck of packages in the last-mile delivery stage. These companies have been experimenting with innovative solutions in last-mile delivery, including autonomous delivery robots (robots that deliver parcels from a van). Unfortunately, many of these innovations create new obstacles (e.g., robots travel relatively slowly since they must navigate many ground-level obstacles) and are not ready for full-scale implementation. As a result, delivery companies will likely ____</t>
  </si>
  <si>
    <t>The olona shrub is one of many forest plant species native to Oahu (a Hawaiian island) that are at risk of extinction in the wild. Ecologists say that fruit-eating birds help support these species' population numbers by dropping seeds from the plants' fruits to different spots where new plants can grow. The birds native to Oahu that used to do this have all gone extinct over time. However, the common waxbill and other fruit-eating bird species brought to the island in the last 150 years have been found to spread plant seeds. Based on this finding, some ecologists suggest that olona shrubs and other forest plants native to Oahu ____</t>
  </si>
  <si>
    <t>The student wants to include only the most relevant information from the notes to briefly introduce the A.M. Turing Award in a presentation. Which choice most effectively accomplishes this?</t>
  </si>
  <si>
    <t>The A.M. Turing Award is named after groundbreaking British mathematician Alan Turing. It was introduced by the ACM.</t>
  </si>
  <si>
    <t>The A.M. Turing Award, named after groundbreaking British mathematician Alan Turing, is given by the ACM for "major contributions of lasting importance to computing."</t>
  </si>
  <si>
    <t>The Association for Computing Machinery (ACM) gives an award named after Alan Turing.</t>
  </si>
  <si>
    <t>The A.M. Turing Award is a prestigious award that highlights Alan Turing's contributions to computing.</t>
  </si>
  <si>
    <r>
      <rPr>
        <rFont val="Arial"/>
        <color rgb="FF000000"/>
        <sz val="10.0"/>
      </rPr>
      <t>\sqrt</t>
    </r>
    <r>
      <rPr>
        <rFont val="Arial"/>
        <color rgb="FF000000"/>
        <sz val="10.0"/>
        <u/>
      </rPr>
      <t>20</t>
    </r>
  </si>
  <si>
    <t>In their 2019 study of butterfly diversity at Rupa Lake in Nepal, researcher Hari Adhikariand his colleagues counted eight Paris peacock ____ to the Papilionidae family, the Paris peacock (Papilio paris) is known to be rare.</t>
  </si>
  <si>
    <t>intricate</t>
  </si>
  <si>
    <r>
      <rPr>
        <rFont val="Arial"/>
        <color rgb="FF000000"/>
        <sz val="10.0"/>
      </rPr>
      <t>\[
\begin</t>
    </r>
    <r>
      <rPr>
        <rFont val="Arial"/>
        <color rgb="FF000000"/>
        <sz val="10.0"/>
        <u/>
      </rPr>
      <t>array|c|c|</t>
    </r>
    <r>
      <rPr>
        <rFont val="Arial"/>
        <color rgb="FF000000"/>
        <sz val="10.0"/>
      </rPr>
      <t xml:space="preserve">
\hline
x &amp; t(x) \\
\hline
29 &amp; 15 \\
32 &amp; \frac</t>
    </r>
    <r>
      <rPr>
        <rFont val="Arial"/>
        <color rgb="FF000000"/>
        <sz val="10.0"/>
        <u/>
      </rPr>
      <t>332</t>
    </r>
    <r>
      <rPr>
        <rFont val="Arial"/>
        <color rgb="FF000000"/>
        <sz val="10.0"/>
      </rPr>
      <t xml:space="preserve"> \\
51 &amp; 26 \\
\hline
\end</t>
    </r>
    <r>
      <rPr>
        <rFont val="Arial"/>
        <color rgb="FF000000"/>
        <sz val="10.0"/>
        <u/>
      </rPr>
      <t>array</t>
    </r>
    <r>
      <rPr>
        <rFont val="Arial"/>
        <color rgb="FF000000"/>
        <sz val="10.0"/>
      </rPr>
      <t xml:space="preserve">
\] For the linear function $t$, the table shows three values of $x$ and their corresponding values of $t(x)$. Function $v$ is defined by $v(x) = t(x) - 4$.</t>
    </r>
  </si>
  <si>
    <t>How a folktale begins depends largely on the language in which it ____ folktales told in the Pashto language open with a phrase that roughly means "there was this work that." English-language folktales, on the other hand, often begin with "once upon a time."</t>
  </si>
  <si>
    <t>Maize was among the many plant species from the Western Hemisphere introduced into the Eastern Hemisphere in the years following Christopher Columbus's first transatlantic voyage in 1492. This ongoing transfer of species between hemispheres ____ now known as the Columbian Exchange.</t>
  </si>
  <si>
    <r>
      <rPr>
        <rFont val="Arial"/>
        <i val="0"/>
        <color rgb="FF000000"/>
        <sz val="10.0"/>
      </rPr>
      <t xml:space="preserve">The following text is adapted from Edith Wharton's 1911 novella Ethan Frome. The narrator has asked the woman he rents a room from about Ethan Frome, a town resident he encountered recently.
Her mind was a store-house of innocuous anecdote and any question about her acquaintances brought forth a volume of detail; but on the subject of Ethan Frome I found her unexpectedly reticent. There was no hint of disapproval in her </t>
    </r>
    <r>
      <rPr>
        <rFont val="Arial"/>
        <i/>
        <color rgb="FF000000"/>
        <sz val="10.0"/>
      </rPr>
      <t>reserve</t>
    </r>
    <r>
      <rPr>
        <rFont val="Arial"/>
        <i val="0"/>
        <color rgb="FF000000"/>
        <sz val="10.0"/>
      </rPr>
      <t>; I merely felt in her an insurmountable reluctance to speak of him.</t>
    </r>
  </si>
  <si>
    <r>
      <rPr>
        <rFont val="Arial"/>
        <color rgb="FF000000"/>
        <sz val="10.0"/>
      </rPr>
      <t>What is the x-intercept of a line in the xy-plane that has a slope of $-\frac</t>
    </r>
    <r>
      <rPr>
        <rFont val="Arial"/>
        <color rgb="FF000000"/>
        <sz val="10.0"/>
        <u/>
      </rPr>
      <t>47</t>
    </r>
    <r>
      <rPr>
        <rFont val="Arial"/>
        <color rgb="FF000000"/>
        <sz val="10.0"/>
      </rPr>
      <t>$ and passes through the point $(0, 12)$?</t>
    </r>
  </si>
  <si>
    <t>On receiving good news, people’s first instinct might be to immediately share it, but a recent experiment suggests that keeping it a secret can be psychologically beneficial. Study participants were randomly assigned to reflect on an experience in which they either shared good news or kept it to themselves. On average, those who kept good news secret reported feeling more energized by the experience than participants who shared did, perhaps, as the researchers suggest, because the choice to savor good news is usually a personal one and autonomous motivation is linked with feelings of vitality.</t>
  </si>
  <si>
    <t>Text1
For decades, ornithologists assumed that if they saw a singing winter wren—a bird species found in temperate North America—they must be observing a male trying to attract a mate or claim territory. As Peter J.B. Slater and Nigel I. Mann have emphasized, however, a similar assumption can’t be made about birds in the tropics, where females sing as often as males do. Slater and Mann call for more research on this discrepancy between tropical and temperate female birdsong.
Text2
Recent evidence shows that a female winter wren is as capable of song as a male is. In fact, female birdsong is more common among temperate species than currently assumed, claim Evangeline Rose and colleagues. These female songbirds sing less frequently than males do, and in duller tones, making it "easy for researchers to miss the quiet and hidden females and focus on the loud and colorful males," says Rose.</t>
  </si>
  <si>
    <r>
      <rPr>
        <rFont val="Arial"/>
        <i val="0"/>
        <color rgb="FF000000"/>
        <sz val="10.0"/>
      </rPr>
      <t xml:space="preserve">In the </t>
    </r>
    <r>
      <rPr>
        <rFont val="Arial"/>
        <i/>
        <color rgb="FF000000"/>
        <sz val="10.0"/>
      </rPr>
      <t>xy</t>
    </r>
    <r>
      <rPr>
        <rFont val="Arial"/>
        <i val="0"/>
        <color rgb="FF000000"/>
        <sz val="10.0"/>
      </rPr>
      <t>-plane, an equation of circle A is $(x - 5)^2 + (y - 7)^2 = 16.$ Circle B has the same center as circle A but has a radius that is twice the radius of circle A. Which equation represents circle B?</t>
    </r>
  </si>
  <si>
    <t>Based on the texts, how would Rose and colleagues (Text 2) most likely respond to the assertion by Slater and Mann (Text 1) about the different prevalence of female birdsong intemperate and tropical areas?</t>
  </si>
  <si>
    <t>Beyond the simple coining of a term,</t>
  </si>
  <si>
    <r>
      <rPr>
        <rFont val="Arial"/>
        <color rgb="FF000000"/>
        <sz val="10.0"/>
      </rPr>
      <t>The table shown summarizes the number of employees at each of the 13 stores in a shopping plaza.
\begin</t>
    </r>
    <r>
      <rPr>
        <rFont val="Arial"/>
        <color rgb="FF000000"/>
        <sz val="10.0"/>
        <u/>
      </rPr>
      <t>array|c|c|</t>
    </r>
    <r>
      <rPr>
        <rFont val="Arial"/>
        <color rgb="FF000000"/>
        <sz val="10.0"/>
      </rPr>
      <t xml:space="preserve">
\hline
\text</t>
    </r>
    <r>
      <rPr>
        <rFont val="Arial"/>
        <color rgb="FF000000"/>
        <sz val="10.0"/>
        <u/>
      </rPr>
      <t>Number of employees</t>
    </r>
    <r>
      <rPr>
        <rFont val="Arial"/>
        <color rgb="FF000000"/>
        <sz val="10.0"/>
      </rPr>
      <t xml:space="preserve"> &amp; \text</t>
    </r>
    <r>
      <rPr>
        <rFont val="Arial"/>
        <color rgb="FF000000"/>
        <sz val="10.0"/>
        <u/>
      </rPr>
      <t>Number of stores</t>
    </r>
    <r>
      <rPr>
        <rFont val="Arial"/>
        <color rgb="FF000000"/>
        <sz val="10.0"/>
      </rPr>
      <t xml:space="preserve"> \\
\hline
1 \text</t>
    </r>
    <r>
      <rPr>
        <rFont val="Arial"/>
        <color rgb="FF000000"/>
        <sz val="10.0"/>
        <u/>
      </rPr>
      <t xml:space="preserve"> to </t>
    </r>
    <r>
      <rPr>
        <rFont val="Arial"/>
        <color rgb="FF000000"/>
        <sz val="10.0"/>
      </rPr>
      <t xml:space="preserve"> 6 &amp; 2 \\
7 \text</t>
    </r>
    <r>
      <rPr>
        <rFont val="Arial"/>
        <color rgb="FF000000"/>
        <sz val="10.0"/>
        <u/>
      </rPr>
      <t xml:space="preserve"> to </t>
    </r>
    <r>
      <rPr>
        <rFont val="Arial"/>
        <color rgb="FF000000"/>
        <sz val="10.0"/>
      </rPr>
      <t xml:space="preserve"> 12 &amp; 3 \\
13 \text</t>
    </r>
    <r>
      <rPr>
        <rFont val="Arial"/>
        <color rgb="FF000000"/>
        <sz val="10.0"/>
        <u/>
      </rPr>
      <t xml:space="preserve"> to </t>
    </r>
    <r>
      <rPr>
        <rFont val="Arial"/>
        <color rgb="FF000000"/>
        <sz val="10.0"/>
      </rPr>
      <t xml:space="preserve"> 18 &amp; 1 \\
19 \text</t>
    </r>
    <r>
      <rPr>
        <rFont val="Arial"/>
        <color rgb="FF000000"/>
        <sz val="10.0"/>
        <u/>
      </rPr>
      <t xml:space="preserve"> to </t>
    </r>
    <r>
      <rPr>
        <rFont val="Arial"/>
        <color rgb="FF000000"/>
        <sz val="10.0"/>
      </rPr>
      <t xml:space="preserve"> 24 &amp; 6 \\
25 \text</t>
    </r>
    <r>
      <rPr>
        <rFont val="Arial"/>
        <color rgb="FF000000"/>
        <sz val="10.0"/>
        <u/>
      </rPr>
      <t xml:space="preserve"> to </t>
    </r>
    <r>
      <rPr>
        <rFont val="Arial"/>
        <color rgb="FF000000"/>
        <sz val="10.0"/>
      </rPr>
      <t xml:space="preserve"> 30 &amp; 1 \\
\hline
\end</t>
    </r>
    <r>
      <rPr>
        <rFont val="Arial"/>
        <color rgb="FF000000"/>
        <sz val="10.0"/>
        <u/>
      </rPr>
      <t>array</t>
    </r>
  </si>
  <si>
    <t>major source of politicians' beliefs about their constituents' views, but it is susceptible to a selection effect. There is little reason to presume that individuals with the time, resources, and strength of feeling to directly engage with their representatives are themselves broadly representative.</t>
  </si>
  <si>
    <t>While researching a topic, a student has taken the following notes:
- Albert Einstein's theory of general relativity allows for potential shortcuts through spacetime.
- These hypothetical spacetime tunnels are known as wormholes.
- For matter to travel through a wormhole, it would need to have negative energy density.
- Negative energy density means that the matter would have less energy than empty space.
- Such matter has not been shown to exist.</t>
  </si>
  <si>
    <t>When apes made mouth-touching gestures, which participants tended to correctly interpret as requests for food, the food was visible in the videos</t>
  </si>
  <si>
    <t>No other animals besides great apes use gestures to convey information</t>
  </si>
  <si>
    <t>Great ape gestures involve a wider range of physical movements and postures than gestures made by humans</t>
  </si>
  <si>
    <t>Recitals by Catherine Kautsky, known for her virtuosity on the piano, are rightly described as ______ given that they can feature not just the performance of a musical piece but also a lecture on the piece's composer and a slideshow contextualizing the time in which it was composed.</t>
  </si>
  <si>
    <t>Researchers used anonymized location data from the US and Cote d'Ivoire to document people's daily patterns of mobility, using these results to test the efficacy of the researchers' predictive computer model. In each country, unidirectional cycles among two, three, or four locations were empirically the most common pattern types; the graph shows each of these pattern types as a proportion of all pattern instances found for that country (e.g, the measured value for CI 3 in the graph, 0.12, indicates that the three-location pattern constituted 12% of all pattern instances in the Cote d'Ivoire data). The researchers ran their model twice under different assumptions, concluding that emphasizing the salience of local population density over personal preferences generally yielded the best results.</t>
  </si>
  <si>
    <t>%GRAPH% Which choice most effectively uses data from the graph to illustrate the researchers' conclusion?</t>
  </si>
  <si>
    <t>undiscerning</t>
  </si>
  <si>
    <t>exuberant</t>
  </si>
  <si>
    <t>Among saltwater fish species, there is a clear association between habitat latitude and morphological variety. While tropical species are ____ deep-bodied physical forms (body shapes that are laterally compressed but vertically extended, polar and temperate species are highly dispersed across the morphological spectrum.</t>
  </si>
  <si>
    <r>
      <rPr>
        <rFont val="Arial"/>
        <color rgb="FF000000"/>
        <sz val="10.0"/>
      </rPr>
      <t>$q(x) = 12\ (2^</t>
    </r>
    <r>
      <rPr>
        <rFont val="Arial"/>
        <color rgb="FF000000"/>
        <sz val="10.0"/>
        <u/>
      </rPr>
      <t>x</t>
    </r>
    <r>
      <rPr>
        <rFont val="Arial"/>
        <color rgb="FF000000"/>
        <sz val="10.0"/>
      </rPr>
      <t>)$
Which table gives three values of $x$ and their corresponding values of $q(x)$ for function $q$?</t>
    </r>
  </si>
  <si>
    <r>
      <rPr>
        <rFont val="Arial"/>
        <color rgb="FF000000"/>
        <sz val="10.0"/>
      </rPr>
      <t xml:space="preserve">The following text is adapted from Edith Wharton's 1911 novella Ethan Frome. The narrator has asked the woman he rents a room from about Ethan Frome, a town resident he encountered recently.
Her mind was a store-house of innocuous anecdote and any question about her acquaintances brought forth a volume of detail; but on the subject of Ethan Frome I found her unexpectedly reticent. There was no hint of disapproval in her </t>
    </r>
    <r>
      <rPr>
        <rFont val="Arial"/>
        <color rgb="FF000000"/>
        <sz val="10.0"/>
        <u/>
      </rPr>
      <t>reserve</t>
    </r>
    <r>
      <rPr>
        <rFont val="Arial"/>
        <color rgb="FF000000"/>
        <sz val="10.0"/>
      </rPr>
      <t>; I merely felt in her an insurmountable reluctance to speak of him.</t>
    </r>
  </si>
  <si>
    <t>The work of Tobias Gerstenberg et al. on tracking eye movements supports a theory that people envision ____ scenarios when making causal judgments: when subjects were asked to look at two colliding billiard balls and judge whether one caused or prevented the other's movement through a gate, their eyes looked at where the target ball would have gone if the ball that altered its path did not exist.</t>
  </si>
  <si>
    <r>
      <rPr>
        <rFont val="Arial"/>
        <color rgb="FF000000"/>
        <sz val="10.0"/>
      </rPr>
      <t>The length of a rectangle's diagonal is $\sqrt</t>
    </r>
    <r>
      <rPr>
        <rFont val="Arial"/>
        <color rgb="FF000000"/>
        <sz val="10.0"/>
        <u/>
      </rPr>
      <t>34</t>
    </r>
    <r>
      <rPr>
        <rFont val="Arial"/>
        <color rgb="FF000000"/>
        <sz val="10.0"/>
      </rPr>
      <t>$, and the length of one of the rectangle's sides is 5. What is the perimeter of the rectangle?</t>
    </r>
  </si>
  <si>
    <r>
      <rPr>
        <rFont val="Arial"/>
        <color rgb="FF000000"/>
        <sz val="10.0"/>
      </rPr>
      <t>The expression $\frac</t>
    </r>
    <r>
      <rPr>
        <rFont val="Arial"/>
        <color rgb="FF000000"/>
        <sz val="10.0"/>
        <u/>
      </rPr>
      <t>6x^241</t>
    </r>
    <r>
      <rPr>
        <rFont val="Arial"/>
        <color rgb="FF000000"/>
        <sz val="10.0"/>
      </rPr>
      <t>8</t>
    </r>
    <r>
      <rPr>
        <rFont val="Arial"/>
        <color rgb="FF000000"/>
        <sz val="10.0"/>
        <u/>
      </rPr>
      <t xml:space="preserve">x^7$ </t>
    </r>
    <r>
      <rPr>
        <rFont val="Arial"/>
        <color rgb="FF000000"/>
        <sz val="10.0"/>
      </rPr>
      <t>is equivalent to $\frac13</t>
    </r>
    <r>
      <rPr>
        <rFont val="Arial"/>
        <color rgb="FF000000"/>
        <sz val="10.0"/>
        <u/>
      </rPr>
      <t xml:space="preserve"> x</t>
    </r>
    <r>
      <rPr>
        <rFont val="Arial"/>
        <color rgb="FF000000"/>
        <sz val="10.0"/>
      </rPr>
      <t>^b$, where $b$ is a constant and $x &gt; 0$. What is the value of $b$?</t>
    </r>
  </si>
  <si>
    <t>Text1</t>
  </si>
  <si>
    <t>1714 and</t>
  </si>
  <si>
    <t>1714;</t>
  </si>
  <si>
    <t>1714,</t>
  </si>
  <si>
    <t>In separate studies, Yanbo Xiao and colleagues and Xinhua He and colleagues examined whether plants transfer nutrients to one another using a common mycorrhizal network (CMN) -- a lattice of fungal strands in the soil. Xiao and colleagues excluded all pathways other than the CMN by using barriers to keep the plants' root systems separate while allowing mycorrhizal strands through --- a crucial step He and colleagues' study did not take.
Text2
Kiao and colleagues took the necessary precaution of separating the plants' root systems thereby excluding root-to-root transmission). However, any barrier used must allow the thread-like hyphae of a CMN to pass through, and this permeability would also allow liquids through. Thus, the researchers' experimental design cannot ensure that any nutrient transfer observed can be attributed to a CMN and not to some other pathway.</t>
  </si>
  <si>
    <t>B) Ultimately,</t>
  </si>
  <si>
    <r>
      <rPr>
        <rFont val="Arial"/>
        <color rgb="FF000000"/>
        <sz val="10.0"/>
      </rPr>
      <t>\frac</t>
    </r>
    <r>
      <rPr>
        <rFont val="Arial"/>
        <color rgb="FF000000"/>
        <sz val="10.0"/>
        <u/>
      </rPr>
      <t>-3 \pm \sqrt132</t>
    </r>
  </si>
  <si>
    <t>C) Thus,</t>
  </si>
  <si>
    <t>A) By contrast,</t>
  </si>
  <si>
    <t>Doing philosophy helps students formulate concrete solutions to practical issues, whereas studying philosophy prioritizes engagement with historical arguments in the field</t>
  </si>
  <si>
    <t>B) However,</t>
  </si>
  <si>
    <r>
      <rPr>
        <rFont val="Arial"/>
        <color rgb="FF000000"/>
        <sz val="10.0"/>
      </rPr>
      <t>Line $s$ is perpendicular to line $t$ in the $xy$-plane. Line $s$ passes through the points $(6, \frac</t>
    </r>
    <r>
      <rPr>
        <rFont val="Arial"/>
        <color rgb="FF000000"/>
        <sz val="10.0"/>
        <u/>
      </rPr>
      <t>78</t>
    </r>
    <r>
      <rPr>
        <rFont val="Arial"/>
        <color rgb="FF000000"/>
        <sz val="10.0"/>
      </rPr>
      <t>)$ and $(-3, -\frac</t>
    </r>
    <r>
      <rPr>
        <rFont val="Arial"/>
        <color rgb="FF000000"/>
        <sz val="10.0"/>
        <u/>
      </rPr>
      <t>178</t>
    </r>
    <r>
      <rPr>
        <rFont val="Arial"/>
        <color rgb="FF000000"/>
        <sz val="10.0"/>
      </rPr>
      <t>)$. Line $t$ passes through the points $(-8, 39)$ and $(k, 78)$. What is the value of $k?</t>
    </r>
  </si>
  <si>
    <t>Participants were more readily able to identify an ape gesture when it meant "climb on my back" than when it meant "let's be friendly."</t>
  </si>
  <si>
    <t>Participants correctly interpreted ape gestures more than 50 percent of the time, whereas they would have only identified gestures correctly 25 percent of the time if they had been guessing</t>
  </si>
  <si>
    <t>%GRAPH% Proportion of the Three Most Commonly Exhibited Mobility Patterns, in the US and Cote d’Ivoire
The graph shows the measured proportions and model predictions under two assumptions—model: emphasis density and model: emphasis preferences—for mobility patterns involving two, three, or four locations in the US and Cote d’Ivoire. The y-axis shows proportion, from 0 to 1, and the x-axis shows mobility pattern by country: US 2, US 3, US 4, CI 2, CI 3, and CI 4. The measured values are approximately 0.76, 0.12, 0.02, 0.78, 0.12, and 0.02, respectively. The model: emphasis density values are approximately 0.68, 0.19, 0.04, 0.85, 0.06, and 0.01, respectively. The model: emphasis preferences values are approximately 0.47, 0.17, 0.09, 0.33, 0.21, and 0.11, respectively.
Researchers used anonymized location data from the US and Cote d'Ivoire to document people's daily patterns of mobility, using these results to test the efficacy of the researchers' predictive computer model. In each country, unidirectional cycles among two, three, or four locations were empirically the most common pattern types; the graph shows each of these pattern types as a proportion of all pattern instances found for that country (e.g., the measured value for CI 3 in the graph, 0.12, indicates that the three-location pattern constituted 12% of all pattern instances in the Cote d'Ivoire data). The researchers ran their model twice under different assumptions, concluding that emphasizing the salience of local population density over personal preferences generally yielded the best results.</t>
  </si>
  <si>
    <t>Under the assumption that preferences are more salient than density, the US 2 and CI 2 proportions were predicted to be approximately 0.45 and 0.35, respectively, both below the</t>
  </si>
  <si>
    <t>Under the assumption that preferences are more salient than density, the wo-location patterns (US 2 and CI 2) were predicted to be most frequent in the data even though neither proportion was projected to exceed 0.5, well below the proportion predicted under the other assumption.</t>
  </si>
  <si>
    <t>Under the assumption that preferences are more salient than density, the US 2 and CI 2 proportions were predicted to be in the range of 0.3 to 0.5, placing them farther from the measured values than were those predicted under the other assumption.</t>
  </si>
  <si>
    <t>Across brown bears—omnivores with high dietary plasticity—there is wide variety in dietary mix, which may reflect genetics, local resource availability, or social learning (cubs stay with their mothers for two years or more). Evaluating these possibilities, Anne Hertel et al. analyzed 30 years of data on trophic position (indicative of dietary mix) for female brown bears. After separation, daughters, who tended to settle near their mothers, occupied the same trophic positions as their mothers for two years, but the correlation disappeared by year five. Trophic correlation with unrelated individuals in similar habitats was modest, while habitat-independent correlation with nonmaternal relatives (e.g., cousins) was no different than with unrelated individuals. These findings suggest that _____</t>
  </si>
  <si>
    <t>Type of entree | Number of people
---|---
Beef | 17
Chicken | 20
Fish | 6
Vegetarian | 7
Total | 50</t>
  </si>
  <si>
    <t>$y = 30x + 100$
The equation gives the total cost $y$, in dollars, for a small business to produce $x$ shirts. How many shirts can the business produce for a total cost of $550$?</t>
  </si>
  <si>
    <t>CHOICE_IMAGE</t>
  </si>
  <si>
    <t>Which of the following functions is consistent with the table of values below?</t>
  </si>
  <si>
    <r>
      <rPr>
        <rFont val="Arial"/>
        <color rgb="FF000000"/>
        <sz val="10.0"/>
      </rPr>
      <t>f(x) = 980\left(\frac</t>
    </r>
    <r>
      <rPr>
        <rFont val="Arial"/>
        <color rgb="FF000000"/>
        <sz val="10.0"/>
        <u/>
      </rPr>
      <t>13</t>
    </r>
    <r>
      <rPr>
        <rFont val="Arial"/>
        <color rgb="FF000000"/>
        <sz val="10.0"/>
      </rPr>
      <t>\right)^</t>
    </r>
    <r>
      <rPr>
        <rFont val="Arial"/>
        <color rgb="FF000000"/>
        <sz val="10.0"/>
        <u/>
      </rPr>
      <t>\fracx25</t>
    </r>
  </si>
  <si>
    <t>The expression $13x^3 + 19x^3 - 17x^3$ is equivalent to $bx^3$, where b is a constant. What is the value of b?</t>
  </si>
  <si>
    <t>$x^2 - 20x = 0$</t>
  </si>
  <si>
    <r>
      <rPr>
        <rFont val="Arial"/>
        <color rgb="FF000000"/>
        <sz val="10.0"/>
      </rPr>
      <t>\sqrt</t>
    </r>
    <r>
      <rPr>
        <rFont val="Arial"/>
        <color rgb="FF000000"/>
        <sz val="10.0"/>
        <u/>
      </rPr>
      <t>20</t>
    </r>
  </si>
  <si>
    <r>
      <rPr>
        <rFont val="Arial"/>
        <color rgb="FF000000"/>
        <sz val="10.0"/>
      </rPr>
      <t>\begin</t>
    </r>
    <r>
      <rPr>
        <rFont val="Arial"/>
        <color rgb="FF000000"/>
        <sz val="10.0"/>
        <u/>
      </rPr>
      <t>array|c|c|</t>
    </r>
    <r>
      <rPr>
        <rFont val="Arial"/>
        <color rgb="FF000000"/>
        <sz val="10.0"/>
      </rPr>
      <t xml:space="preserve"> \hline x &amp; t(x) \\ \hline 29 &amp; 15 \\ \hline 32 &amp; \frac</t>
    </r>
    <r>
      <rPr>
        <rFont val="Arial"/>
        <color rgb="FF000000"/>
        <sz val="10.0"/>
        <u/>
      </rPr>
      <t>332</t>
    </r>
    <r>
      <rPr>
        <rFont val="Arial"/>
        <color rgb="FF000000"/>
        <sz val="10.0"/>
      </rPr>
      <t xml:space="preserve"> \\ \hline 51 &amp; 26 \\ \hline \end</t>
    </r>
    <r>
      <rPr>
        <rFont val="Arial"/>
        <color rgb="FF000000"/>
        <sz val="10.0"/>
        <u/>
      </rPr>
      <t>array</t>
    </r>
    <r>
      <rPr>
        <rFont val="Arial"/>
        <color rgb="FF000000"/>
        <sz val="10.0"/>
      </rPr>
      <t xml:space="preserve"> 
For the linear function $t$, the table shows three values of $x$ and their corresponding values of $t(x)$. Function $v$ is defined by $v(x) = t(x) - 4$. What is the $x$-intercept of the graph of $y = v(x)$ in the $xy$-plane?</t>
    </r>
  </si>
  <si>
    <t>What is the $x$-intercept of the graph of $y = v(x)$ in the $xy$-plane?</t>
  </si>
  <si>
    <t>8, 0</t>
  </si>
  <si>
    <t>For the polynomial function $f$, the graph of $y = f(x)$ in the $xy$-plane passes through the points (-5,0), (3, 0), and (4,0). Which of the following must be a factor of $f(x)$?</t>
  </si>
  <si>
    <t>x+5</t>
  </si>
  <si>
    <t>What is the x-intercept of a line in the xy-plane that has a slope of $-4/7$ and passes through the point $(0, 12)$?</t>
  </si>
  <si>
    <t>A neighborhood consists of a 3-hectare park and a 34-hectare residential area. The total number of trees in the neighborhood is 4,832. The equation $3x + 34y = 4,832$ represents this situation. Which of the following is the best interpretation of $x$ in this context?</t>
  </si>
  <si>
    <t>In the xy-plane, an equation of circle A is $(x-5)^2 + (y-7)^2 = 16$. Circle B has the same center as circle A but has a radius that is twice the radius of circle A. Which equation represents circle B?</t>
  </si>
  <si>
    <t>Which equation represents circle B?</t>
  </si>
  <si>
    <t>(x-5)^2 + (y-7)^2 = 64</t>
  </si>
  <si>
    <r>
      <rPr>
        <rFont val="Arial"/>
        <color rgb="FF000000"/>
        <sz val="10.0"/>
      </rPr>
      <t>The table shown summarizes the number of employees at each of the 13 stores in a shopping plaza.
\begin</t>
    </r>
    <r>
      <rPr>
        <rFont val="Arial"/>
        <color rgb="FF000000"/>
        <sz val="10.0"/>
        <u/>
      </rPr>
      <t>tabular|c|c|</t>
    </r>
    <r>
      <rPr>
        <rFont val="Arial"/>
        <color rgb="FF000000"/>
        <sz val="10.0"/>
      </rPr>
      <t xml:space="preserve">
\hline
\text</t>
    </r>
    <r>
      <rPr>
        <rFont val="Arial"/>
        <color rgb="FF000000"/>
        <sz val="10.0"/>
        <u/>
      </rPr>
      <t>Number of employees</t>
    </r>
    <r>
      <rPr>
        <rFont val="Arial"/>
        <color rgb="FF000000"/>
        <sz val="10.0"/>
      </rPr>
      <t xml:space="preserve"> &amp; \text</t>
    </r>
    <r>
      <rPr>
        <rFont val="Arial"/>
        <color rgb="FF000000"/>
        <sz val="10.0"/>
        <u/>
      </rPr>
      <t>Number of stores</t>
    </r>
    <r>
      <rPr>
        <rFont val="Arial"/>
        <color rgb="FF000000"/>
        <sz val="10.0"/>
      </rPr>
      <t xml:space="preserve"> \\
\hline
1 \text</t>
    </r>
    <r>
      <rPr>
        <rFont val="Arial"/>
        <color rgb="FF000000"/>
        <sz val="10.0"/>
        <u/>
      </rPr>
      <t xml:space="preserve"> to </t>
    </r>
    <r>
      <rPr>
        <rFont val="Arial"/>
        <color rgb="FF000000"/>
        <sz val="10.0"/>
      </rPr>
      <t xml:space="preserve"> 6 &amp; 2 \\
7 \text</t>
    </r>
    <r>
      <rPr>
        <rFont val="Arial"/>
        <color rgb="FF000000"/>
        <sz val="10.0"/>
        <u/>
      </rPr>
      <t xml:space="preserve"> to </t>
    </r>
    <r>
      <rPr>
        <rFont val="Arial"/>
        <color rgb="FF000000"/>
        <sz val="10.0"/>
      </rPr>
      <t xml:space="preserve"> 12 &amp; 3 \\
13 \text</t>
    </r>
    <r>
      <rPr>
        <rFont val="Arial"/>
        <color rgb="FF000000"/>
        <sz val="10.0"/>
        <u/>
      </rPr>
      <t xml:space="preserve"> to </t>
    </r>
    <r>
      <rPr>
        <rFont val="Arial"/>
        <color rgb="FF000000"/>
        <sz val="10.0"/>
      </rPr>
      <t xml:space="preserve"> 18 &amp; 1 \\
19 \text</t>
    </r>
    <r>
      <rPr>
        <rFont val="Arial"/>
        <color rgb="FF000000"/>
        <sz val="10.0"/>
        <u/>
      </rPr>
      <t xml:space="preserve"> to </t>
    </r>
    <r>
      <rPr>
        <rFont val="Arial"/>
        <color rgb="FF000000"/>
        <sz val="10.0"/>
      </rPr>
      <t xml:space="preserve"> 24 &amp; 6 \\
25 \text</t>
    </r>
    <r>
      <rPr>
        <rFont val="Arial"/>
        <color rgb="FF000000"/>
        <sz val="10.0"/>
        <u/>
      </rPr>
      <t xml:space="preserve"> to </t>
    </r>
    <r>
      <rPr>
        <rFont val="Arial"/>
        <color rgb="FF000000"/>
        <sz val="10.0"/>
      </rPr>
      <t xml:space="preserve"> 30 &amp; 1 \\
\hline
\end</t>
    </r>
    <r>
      <rPr>
        <rFont val="Arial"/>
        <color rgb="FF000000"/>
        <sz val="10.0"/>
        <u/>
      </rPr>
      <t>tabular</t>
    </r>
  </si>
  <si>
    <t>The Sino-Tibetan language of Loke has only about 7,500 living speakers. Although most Loke speakers live in Nepal, where the language originated, Loke is also spoken in New York City. ____ the New York-based Endangered Language Alliance has identified a group of Loke speakers in the city's Allerton neighborhood, in the borough of the Bronx.</t>
  </si>
  <si>
    <t>f(x) = -8 \times 2^x</t>
  </si>
  <si>
    <t>Which function matches with the given graph?</t>
  </si>
  <si>
    <t>A total of 50 people attended a conference and were offered 4 types of entrees. The table shows the number of people who chose each type of entree.
Type of entree | Number of people
Beef | 17
Chicken | 20
Fish | 6
Vegetarian | 7
Total | 50</t>
  </si>
  <si>
    <t>If one of these people is selected at random, what is the probability of selecting a person who chose a vegetarian entree?</t>
  </si>
  <si>
    <t>$7/100$</t>
  </si>
  <si>
    <t>$7/50$</t>
  </si>
  <si>
    <t>$1/4$</t>
  </si>
  <si>
    <t>$7/10$</t>
  </si>
  <si>
    <t>$y = 30x + 100$
The equation gives the total cost $y$, in dollars, for a small business to produce $x$ shirts.</t>
  </si>
  <si>
    <t>How many shirts can the business produce for a total cost of $\$550$?</t>
  </si>
  <si>
    <t>$-3$</t>
  </si>
  <si>
    <t>$15$</t>
  </si>
  <si>
    <t>$18$</t>
  </si>
  <si>
    <t>$21$</t>
  </si>
  <si>
    <t>%GRAPH% The scatterplot shows the relationship between two variables, $x$ and $y$, for data set A. A line of best fit for the data is also shown. Data set B is created by subtracting 8 units from the value of $y$ for each data point from data set A. Which of the following is closest to the $y$-coordinate of the y-intercept of the line of best fit for data set B?</t>
  </si>
  <si>
    <r>
      <rPr>
        <rFont val="Arial"/>
        <color rgb="FF000000"/>
        <sz val="10.0"/>
      </rPr>
      <t>q(x) = 12 \left(2^</t>
    </r>
    <r>
      <rPr>
        <rFont val="Arial"/>
        <color rgb="FF000000"/>
        <sz val="10.0"/>
        <u/>
      </rPr>
      <t>x</t>
    </r>
    <r>
      <rPr>
        <rFont val="Arial"/>
        <color rgb="FF000000"/>
        <sz val="10.0"/>
      </rPr>
      <t>\right)
Which table gives three values of x and their corresponding values of q(x) for function q?</t>
    </r>
  </si>
  <si>
    <t>An object traveled $0.20$ meters for every $4.0$ seconds it was in motion. If the object was in motion for $24$ seconds, what is the total distance, in meters, the object traveled?</t>
  </si>
  <si>
    <t>Which table gives a correct set of corresponding values of $x$ and $q(x)$ ?</t>
  </si>
  <si>
    <t>The function $f$ is defined by $f(x)=6(4)^x$. What is the value of $f(x)$ when $x=3$?</t>
  </si>
  <si>
    <r>
      <rPr>
        <rFont val="Arial"/>
        <color rgb="FF000000"/>
        <sz val="10.0"/>
      </rPr>
      <t>The length of a rectangle's diagonal is $\sqrt</t>
    </r>
    <r>
      <rPr>
        <rFont val="Arial"/>
        <color rgb="FF000000"/>
        <sz val="10.0"/>
        <u/>
      </rPr>
      <t>34</t>
    </r>
    <r>
      <rPr>
        <rFont val="Arial"/>
        <color rgb="FF000000"/>
        <sz val="10.0"/>
      </rPr>
      <t>$, and the length of one of the rectangle's sides is $5$. What is the perimeter of the rectangle?</t>
    </r>
  </si>
  <si>
    <t>A model predicts that a certain elephant calf weighed 208 pounds when it was born and that the calf gained 3 pounds per day in its first year of life. This model is defined by an equation in the form $f(x)=a+bx$, where $f(x)$ is the predicted weight, in pounds, of the elephant calf $x$ days after it was born, and $a$ and $b$ are constants. What is the value of $a$?</t>
  </si>
  <si>
    <t>The solution to the given system of equations is $(x, y)$. What is the value of $x + 4y$?</t>
  </si>
  <si>
    <t>The expression $13x^3+19x^3-17x^3$ is equivalent to $bx^3$, where $b$ is a constant. What is the value of $b$?</t>
  </si>
  <si>
    <t>$x^2-20x=0$</t>
  </si>
  <si>
    <r>
      <rPr>
        <rFont val="Arial"/>
        <color rgb="FF000000"/>
        <sz val="10.0"/>
      </rPr>
      <t>The expression $\frac</t>
    </r>
    <r>
      <rPr>
        <rFont val="Arial"/>
        <color rgb="FF000000"/>
        <sz val="10.0"/>
        <u/>
      </rPr>
      <t>6x^241</t>
    </r>
    <r>
      <rPr>
        <rFont val="Arial"/>
        <color rgb="FF000000"/>
        <sz val="10.0"/>
      </rPr>
      <t>8</t>
    </r>
    <r>
      <rPr>
        <rFont val="Arial"/>
        <color rgb="FF000000"/>
        <sz val="10.0"/>
        <u/>
      </rPr>
      <t xml:space="preserve">x^7$ </t>
    </r>
    <r>
      <rPr>
        <rFont val="Arial"/>
        <color rgb="FF000000"/>
        <sz val="10.0"/>
      </rPr>
      <t>is equivalent to $\frac13</t>
    </r>
    <r>
      <rPr>
        <rFont val="Arial"/>
        <color rgb="FF000000"/>
        <sz val="10.0"/>
        <u/>
      </rPr>
      <t>x^</t>
    </r>
    <r>
      <rPr>
        <rFont val="Arial"/>
        <color rgb="FF000000"/>
        <sz val="10.0"/>
      </rPr>
      <t>b$, where $b$ is a constant and $x &gt; 0$. What is the value of $b$?</t>
    </r>
  </si>
  <si>
    <r>
      <rPr>
        <rFont val="Arial"/>
        <color rgb="FF000000"/>
        <sz val="10.0"/>
      </rPr>
      <t>$\sqrt</t>
    </r>
    <r>
      <rPr>
        <rFont val="Arial"/>
        <color rgb="FF000000"/>
        <sz val="10.0"/>
        <u/>
      </rPr>
      <t>20</t>
    </r>
    <r>
      <rPr>
        <rFont val="Arial"/>
        <color rgb="FF000000"/>
        <sz val="10.0"/>
      </rPr>
      <t>$</t>
    </r>
  </si>
  <si>
    <t xml:space="preserve">
| Number of cars | Maximum number of passengers and crew |
|----------------|------------------------------------|
| 3              | 139                                |
| 6              | 271                                |
| 10             | 447                                |
The table shows the linear relationship between the number of cars, $c$, on a commuter train and the maximum number of passengers and crew, $p$, that the train can carry. Which equation represents the linear relationship between $c$ and $p$?</t>
  </si>
  <si>
    <t>Which equation represents the linear relationship between $c$ and $p$?</t>
  </si>
  <si>
    <t>%GRAPH% In the right triangle shown, what is the value of $\cos A$?</t>
  </si>
  <si>
    <r>
      <rPr>
        <rFont val="Arial"/>
        <color rgb="FF000000"/>
        <sz val="10.0"/>
      </rPr>
      <t>$\frac</t>
    </r>
    <r>
      <rPr>
        <rFont val="Arial"/>
        <color rgb="FF000000"/>
        <sz val="10.0"/>
        <u/>
      </rPr>
      <t>149</t>
    </r>
    <r>
      <rPr>
        <rFont val="Arial"/>
        <color rgb="FF000000"/>
        <sz val="10.0"/>
      </rPr>
      <t>$</t>
    </r>
  </si>
  <si>
    <r>
      <rPr>
        <rFont val="Arial"/>
        <color rgb="FF000000"/>
        <sz val="10.0"/>
      </rPr>
      <t>$\frac</t>
    </r>
    <r>
      <rPr>
        <rFont val="Arial"/>
        <color rgb="FF000000"/>
        <sz val="10.0"/>
        <u/>
      </rPr>
      <t>126</t>
    </r>
    <r>
      <rPr>
        <rFont val="Arial"/>
        <color rgb="FF000000"/>
        <sz val="10.0"/>
      </rPr>
      <t>$</t>
    </r>
  </si>
  <si>
    <t>x(x+3) - 1 = 0
What are the solutions to the given equation?</t>
  </si>
  <si>
    <r>
      <rPr>
        <rFont val="Arial"/>
        <color rgb="FF000000"/>
        <sz val="10.0"/>
      </rPr>
      <t>$\frac</t>
    </r>
    <r>
      <rPr>
        <rFont val="Arial"/>
        <color rgb="FF000000"/>
        <sz val="10.0"/>
        <u/>
      </rPr>
      <t>2649</t>
    </r>
    <r>
      <rPr>
        <rFont val="Arial"/>
        <color rgb="FF000000"/>
        <sz val="10.0"/>
      </rPr>
      <t>$</t>
    </r>
  </si>
  <si>
    <r>
      <rPr>
        <rFont val="Arial"/>
        <color rgb="FF000000"/>
        <sz val="10.0"/>
      </rPr>
      <t>$\frac</t>
    </r>
    <r>
      <rPr>
        <rFont val="Arial"/>
        <color rgb="FF000000"/>
        <sz val="10.0"/>
        <u/>
      </rPr>
      <t>4926</t>
    </r>
    <r>
      <rPr>
        <rFont val="Arial"/>
        <color rgb="FF000000"/>
        <sz val="10.0"/>
      </rPr>
      <t>$</t>
    </r>
  </si>
  <si>
    <r>
      <rPr>
        <rFont val="Arial"/>
        <color rgb="FF000000"/>
        <sz val="10.0"/>
      </rPr>
      <t>$x = \frac</t>
    </r>
    <r>
      <rPr>
        <rFont val="Arial"/>
        <color rgb="FF000000"/>
        <sz val="10.0"/>
        <u/>
      </rPr>
      <t>-3 \pm \sqrt132</t>
    </r>
    <r>
      <rPr>
        <rFont val="Arial"/>
        <color rgb="FF000000"/>
        <sz val="10.0"/>
      </rPr>
      <t>$</t>
    </r>
  </si>
  <si>
    <t>For the polynomial function $f$, the graph of $y=f(x)$ in the $xy$-plane passes through the points $(-5,0)$, $(3,0)$, and $(4,0)$. Which of the following must be a factor of $f(x)$?</t>
  </si>
  <si>
    <t>$x+3$</t>
  </si>
  <si>
    <t>$x+4$</t>
  </si>
  <si>
    <t>$x-3$</t>
  </si>
  <si>
    <t>$x-5$</t>
  </si>
  <si>
    <t>Which point (x, y) is a solution to the given system of inequalities in the xy-plane?</t>
  </si>
  <si>
    <t>In the given equation, k is a constant. The equation has exactly one solution. Which value CANNOT be the value of k?</t>
  </si>
  <si>
    <t>The table shows three values of x and their corresponding values of y, where a and b are constants. There is a linear relationship between x and y. In the xy-plane, the y-intercept of the line representing this relationship is (0, -14).</t>
  </si>
  <si>
    <t>What is the value of $a+b$?</t>
  </si>
  <si>
    <t>A neighborhood consists of a 3-hectare park and a 34-hectare residential area. The total number of trees in the neighborhood is 4,832. The equation $3x + 34y = 4,832$ represents this situation.</t>
  </si>
  <si>
    <t>Line $s$ is perpendicular to line $t$ in the $xy$-plane. Line $s$ passes through the points $(6, 7/8)$ and $(-3, -17/8)$. Line $t$ passes through the points $(-8, 39)$ and $(k, 78)$. What is the value of $k?$</t>
  </si>
  <si>
    <t>In the xy-plane, an equation of circle A is $(x - 5)^2 + (y - 7)^2 = 16$. Circle B has the same center as circle A but has a radius that is twice the radius of circle A.</t>
  </si>
  <si>
    <t>$(x - 5)^2 + (y - 7)^2 = 32$</t>
  </si>
  <si>
    <t>$(x - 5)^2 + (y - 7)^2 = 64$</t>
  </si>
  <si>
    <t>$(x - 5)^2 + (y - 7)^2 = 128$</t>
  </si>
  <si>
    <t>$y = 2x^2 - 24x + 54$</t>
  </si>
  <si>
    <t>$(x - 5)^2 + (y - 7)^2 = 256$</t>
  </si>
  <si>
    <t>The given equation represents a parabola in the $xy$-plane. Which of the following equations that represent the same parabola displays the $x$-intercepts as constants or coefficients?</t>
  </si>
  <si>
    <t>The table shown summarizes the number of employees at each of the 13 stores in a shopping plaza.
Number of employees | Number of stores
1 to 6 | 2
7 to 12 | 3
13 to 18 | 1
19 to 24 | 6
25 to 30 | 1</t>
  </si>
  <si>
    <t>The graph of $y=f(x)+2$ is shown, where $f$ is defined by an equation of the form $f(x)=a(b)^x+c$. If $a$, $b$, and $c$ are integer constants and $c\leq 0$,</t>
  </si>
  <si>
    <t>%GRAPH%which equation could define $f$?</t>
  </si>
  <si>
    <t>$f(x)=-5(3)^x$</t>
  </si>
  <si>
    <t>$f(x)=-5(3)^x-1$</t>
  </si>
  <si>
    <t>$f(x)=-5(3)^x-3$</t>
  </si>
  <si>
    <t>$f(x)=-5(3)^x-5$</t>
  </si>
  <si>
    <r>
      <rPr>
        <rFont val="Arial"/>
        <color rgb="FF000000"/>
        <sz val="10.0"/>
      </rPr>
      <t>$30x=1</t>
    </r>
    <r>
      <rPr>
        <rFont val="Arial"/>
        <color rgb="FF000000"/>
        <sz val="10.0"/>
        <u/>
      </rPr>
      <t>,</t>
    </r>
    <r>
      <rPr>
        <rFont val="Arial"/>
        <color rgb="FF000000"/>
        <sz val="10.0"/>
      </rPr>
      <t>800y-2</t>
    </r>
    <r>
      <rPr>
        <rFont val="Arial"/>
        <color rgb="FF000000"/>
        <sz val="10.0"/>
        <u/>
      </rPr>
      <t>,</t>
    </r>
    <r>
      <rPr>
        <rFont val="Arial"/>
        <color rgb="FF000000"/>
        <sz val="10.0"/>
      </rPr>
      <t>700$</t>
    </r>
  </si>
  <si>
    <r>
      <rPr>
        <rFont val="Arial"/>
        <color rgb="FF000000"/>
        <sz val="10.0"/>
      </rPr>
      <t>$\frac</t>
    </r>
    <r>
      <rPr>
        <rFont val="Arial"/>
        <color rgb="FF000000"/>
        <sz val="10.0"/>
        <u/>
      </rPr>
      <t>130</t>
    </r>
    <r>
      <rPr>
        <rFont val="Arial"/>
        <color rgb="FF000000"/>
        <sz val="10.0"/>
      </rPr>
      <t>x=2y$</t>
    </r>
  </si>
  <si>
    <r>
      <rPr>
        <rFont val="Arial"/>
        <color rgb="FF000000"/>
        <sz val="10.0"/>
      </rPr>
      <t>$\frac</t>
    </r>
    <r>
      <rPr>
        <rFont val="Arial"/>
        <color rgb="FF000000"/>
        <sz val="10.0"/>
        <u/>
      </rPr>
      <t>130</t>
    </r>
    <r>
      <rPr>
        <rFont val="Arial"/>
        <color rgb="FF000000"/>
        <sz val="10.0"/>
      </rPr>
      <t>x=60y-90$</t>
    </r>
  </si>
  <si>
    <t>$x=2y$</t>
  </si>
  <si>
    <t>$x=60y-90$</t>
  </si>
  <si>
    <t>The scatterplot shows the relationship between two variables, $x$ and $y$, for data set A. A line of best fit for the data is also shown. Data set B is created by subtracting 8 units from the value of $y$ for each data point from data set A.</t>
  </si>
  <si>
    <t>Which of the following is closest to the $y$-coordinate of the $y$-intercept of the line of best fit for data set B?</t>
  </si>
  <si>
    <t>$q(x)=12(2^x)$
Which table gives three values of $x$ and their corresponding values of $q(x)$ for function $q$?</t>
  </si>
  <si>
    <t>$x$ | $-1$ | $0$ | $1$
$q(x)$ | $-24$ | $0$ | $24$</t>
  </si>
  <si>
    <r>
      <rPr>
        <rFont val="Arial"/>
        <color rgb="FF000000"/>
        <sz val="10.0"/>
      </rPr>
      <t>$x$ | $-1$ | $0$ | $1$
$q(x)$ | $\frac</t>
    </r>
    <r>
      <rPr>
        <rFont val="Arial"/>
        <color rgb="FF000000"/>
        <sz val="10.0"/>
        <u/>
      </rPr>
      <t>16</t>
    </r>
    <r>
      <rPr>
        <rFont val="Arial"/>
        <color rgb="FF000000"/>
        <sz val="10.0"/>
      </rPr>
      <t>$ | $2$ | $24$</t>
    </r>
  </si>
  <si>
    <t>D)</t>
  </si>
  <si>
    <t>For the exponential function $g$, the value of $g(x)$ doubles for every increase of 2 in the value of $x$. If $g(5)=13$, what is the value of $g(7)$?</t>
  </si>
  <si>
    <r>
      <rPr>
        <rFont val="Arial"/>
        <color rgb="FF000000"/>
        <sz val="10.0"/>
      </rPr>
      <t>The length of a rectangle's diagonal is $\sqrt</t>
    </r>
    <r>
      <rPr>
        <rFont val="Arial"/>
        <color rgb="FF000000"/>
        <sz val="10.0"/>
        <u/>
      </rPr>
      <t>34</t>
    </r>
    <r>
      <rPr>
        <rFont val="Arial"/>
        <color rgb="FF000000"/>
        <sz val="10.0"/>
      </rPr>
      <t>$, and the length of one of the rectangle's sides is 5. What is the perimeter of the rectangle?</t>
    </r>
  </si>
  <si>
    <t>$2x+12y=6$
$x+8y=1$
The solution to the given system of equations is $(x,y)$. What is the value of $x+4y$?</t>
  </si>
  <si>
    <t>An object is kicked from a platform. The equation $h=-4.9t^2+8t+11$ represents this situation, where $h$ is the height of the object above the ground, in meters, $t$ seconds after it is kicked. According to the equation, what is the height, in meters, from which the object was kicked?</t>
  </si>
  <si>
    <t>Number of cars | Maximum number of passengers and crew
3 | 139
6 | 271
10 | 447</t>
  </si>
  <si>
    <t>$44c-p=-7$</t>
  </si>
  <si>
    <t>$44c-p=7$</t>
  </si>
  <si>
    <t>$44p-c=-7$</t>
  </si>
  <si>
    <t>$44p-c=7$</t>
  </si>
  <si>
    <t>$x(x+3)-1=0$</t>
  </si>
  <si>
    <t>What are the solutions to the given equation?</t>
  </si>
  <si>
    <r>
      <rPr>
        <rFont val="Arial"/>
        <color rgb="FF000000"/>
        <sz val="10.0"/>
      </rPr>
      <t>$x=\frac</t>
    </r>
    <r>
      <rPr>
        <rFont val="Arial"/>
        <color rgb="FF000000"/>
        <sz val="10.0"/>
        <u/>
      </rPr>
      <t>-3\pm\sqrt{13</t>
    </r>
    <r>
      <rPr>
        <rFont val="Arial"/>
        <color rgb="FF000000"/>
        <sz val="10.0"/>
      </rPr>
      <t>}</t>
    </r>
    <r>
      <rPr>
        <rFont val="Arial"/>
        <color rgb="FF000000"/>
        <sz val="10.0"/>
        <u/>
      </rPr>
      <t>2</t>
    </r>
    <r>
      <rPr>
        <rFont val="Arial"/>
        <color rgb="FF000000"/>
        <sz val="10.0"/>
      </rPr>
      <t>$</t>
    </r>
  </si>
  <si>
    <r>
      <rPr>
        <rFont val="Arial"/>
        <color rgb="FF000000"/>
        <sz val="10.0"/>
      </rPr>
      <t>$x=\frac</t>
    </r>
    <r>
      <rPr>
        <rFont val="Arial"/>
        <color rgb="FF000000"/>
        <sz val="10.0"/>
        <u/>
      </rPr>
      <t>-3\pm\sqrt{5</t>
    </r>
    <r>
      <rPr>
        <rFont val="Arial"/>
        <color rgb="FF000000"/>
        <sz val="10.0"/>
      </rPr>
      <t>}</t>
    </r>
    <r>
      <rPr>
        <rFont val="Arial"/>
        <color rgb="FF000000"/>
        <sz val="10.0"/>
        <u/>
      </rPr>
      <t>2</t>
    </r>
    <r>
      <rPr>
        <rFont val="Arial"/>
        <color rgb="FF000000"/>
        <sz val="10.0"/>
      </rPr>
      <t>$</t>
    </r>
  </si>
  <si>
    <r>
      <rPr>
        <rFont val="Arial"/>
        <color rgb="FF000000"/>
        <sz val="10.0"/>
      </rPr>
      <t>$x = \frac</t>
    </r>
    <r>
      <rPr>
        <rFont val="Arial"/>
        <color rgb="FF000000"/>
        <sz val="10.0"/>
        <u/>
      </rPr>
      <t>3 \pm \sqrt{13</t>
    </r>
    <r>
      <rPr>
        <rFont val="Arial"/>
        <color rgb="FF000000"/>
        <sz val="10.0"/>
      </rPr>
      <t>}</t>
    </r>
    <r>
      <rPr>
        <rFont val="Arial"/>
        <color rgb="FF000000"/>
        <sz val="10.0"/>
        <u/>
      </rPr>
      <t>2</t>
    </r>
    <r>
      <rPr>
        <rFont val="Arial"/>
        <color rgb="FF000000"/>
        <sz val="10.0"/>
      </rPr>
      <t>$</t>
    </r>
  </si>
  <si>
    <r>
      <rPr>
        <rFont val="Arial"/>
        <color rgb="FF000000"/>
        <sz val="10.0"/>
      </rPr>
      <t>$x = \frac</t>
    </r>
    <r>
      <rPr>
        <rFont val="Arial"/>
        <color rgb="FF000000"/>
        <sz val="10.0"/>
        <u/>
      </rPr>
      <t>3 \pm \sqrt{5</t>
    </r>
    <r>
      <rPr>
        <rFont val="Arial"/>
        <color rgb="FF000000"/>
        <sz val="10.0"/>
      </rPr>
      <t>}</t>
    </r>
    <r>
      <rPr>
        <rFont val="Arial"/>
        <color rgb="FF000000"/>
        <sz val="10.0"/>
        <u/>
      </rPr>
      <t>2</t>
    </r>
    <r>
      <rPr>
        <rFont val="Arial"/>
        <color rgb="FF000000"/>
        <sz val="10.0"/>
      </rPr>
      <t>$</t>
    </r>
  </si>
  <si>
    <t>$y \leq x + 14$
$y \geq -3x - 14$
Which point $(x, y)$ is a solution to the given system of inequalities in the $xy$-plane?</t>
  </si>
  <si>
    <t>$35x + 3 = k(7x + 3) + 7x$
In the given equation, $k$ is a constant. The equation has exactly one solution. Which value CANNOT be the value of $k$?</t>
  </si>
  <si>
    <t>$4$</t>
  </si>
  <si>
    <t>$-4$</t>
  </si>
  <si>
    <t>The table shows three values of $x$ and their corresponding values of $y$, where $a$ and $b$ are constants. There is a linear relationship between $x$ and $y$. In the $xy$-plane, the $y$-intercept of the line representing this relationship is $(0, -14)$.
$x$ | $y$
$-12$ | $46$
$a$ | $16$
$2$ | $b$</t>
  </si>
  <si>
    <t>$-30$</t>
  </si>
  <si>
    <t>$-29$</t>
  </si>
  <si>
    <t>$-20$</t>
  </si>
  <si>
    <t>$-19$</t>
  </si>
  <si>
    <t>Line $s$ is perpendicular to line $t$ in the $xy$-plane. Line $s$ passes through the points $(6, 7/8)$ and $(-3, -17/8)$. Line $t$ passes through the points $(-8, 39)$ and $(k, 78)$. What is the value of $k$?</t>
  </si>
  <si>
    <t>$y=2x^2-24x+54$
The given equation represents a parabola in the $xy$-plane.</t>
  </si>
  <si>
    <t>Which of the following equations that represent the same parabola displays the x-intercepts as constants or coefficients?</t>
  </si>
  <si>
    <t>$y=2(x^2-12x)+54$</t>
  </si>
  <si>
    <t>$y=2x(x-12)+54$</t>
  </si>
  <si>
    <t>$y=2(x-6)^2-18$</t>
  </si>
  <si>
    <t>$y=2(x-9)(x-3)$</t>
  </si>
  <si>
    <t>[Figure showing two parallel horizontal lines $m$ and $n$, intersected by lines $AE$ and $CD$ at points $A,E$ and $C,D$, respectively; the two diagonal lines intersect at $B$.]
Note: Figure not drawn to scale.</t>
  </si>
  <si>
    <t>$AB=12$ and $DB=12$.</t>
  </si>
  <si>
    <t>$AB=12$ and $EB=12$.</t>
  </si>
  <si>
    <t>The function $f$ is defined by the given equation. If $g(x)=f(x+2)$, which of the following equations defines the function $g$?</t>
  </si>
  <si>
    <t>$g(x)=24(7)^x$</t>
  </si>
  <si>
    <t>$g(x)=588(7)^x$</t>
  </si>
  <si>
    <t>$g(x)=24(14)^x$</t>
  </si>
  <si>
    <t>$g(x)=144(49)^x$</t>
  </si>
  <si>
    <r>
      <rPr>
        <rFont val="Arial"/>
        <color rgb="FF000000"/>
        <sz val="10.0"/>
      </rPr>
      <t>$\frac</t>
    </r>
    <r>
      <rPr>
        <rFont val="Arial"/>
        <color rgb="FF000000"/>
        <sz val="10.0"/>
        <u/>
      </rPr>
      <t>27</t>
    </r>
    <r>
      <rPr>
        <rFont val="Arial"/>
        <color rgb="FF000000"/>
        <sz val="10.0"/>
      </rPr>
      <t>(2x+7)(x+\sqrt</t>
    </r>
    <r>
      <rPr>
        <rFont val="Arial"/>
        <color rgb="FF000000"/>
        <sz val="10.0"/>
        <u/>
      </rPr>
      <t>2k+7</t>
    </r>
    <r>
      <rPr>
        <rFont val="Arial"/>
        <color rgb="FF000000"/>
        <sz val="10.0"/>
      </rPr>
      <t>)(x-\sqrt</t>
    </r>
    <r>
      <rPr>
        <rFont val="Arial"/>
        <color rgb="FF000000"/>
        <sz val="10.0"/>
        <u/>
      </rPr>
      <t>2k+7</t>
    </r>
    <r>
      <rPr>
        <rFont val="Arial"/>
        <color rgb="FF000000"/>
        <sz val="10.0"/>
      </rPr>
      <t>)=0$</t>
    </r>
  </si>
  <si>
    <t>In the given equation, $k$ is a positive constant. The product of the solutions to the equation is 63. What is the value of $k$?</t>
  </si>
  <si>
    <t>$4x^2-px+w=-87$</t>
  </si>
  <si>
    <t>In the given equation, $p$ and $w$ are integer constants. The equation has exactly one real solution. Which is NOT a possible value of $w$?</t>
  </si>
  <si>
    <r>
      <rPr>
        <rFont val="Arial"/>
        <i val="0"/>
        <color rgb="FF000000"/>
        <sz val="10.0"/>
      </rPr>
      <t xml:space="preserve">
Area (square inches)
Trapezoid ABCD — 440
Trapezoid EFGH — 11,000
Trapezoid </t>
    </r>
    <r>
      <rPr>
        <rFont val="Arial"/>
        <i/>
        <color rgb="FF000000"/>
        <sz val="10.0"/>
      </rPr>
      <t>ABCD</t>
    </r>
    <r>
      <rPr>
        <rFont val="Arial"/>
        <i val="0"/>
        <color rgb="FF000000"/>
        <sz val="10.0"/>
      </rPr>
      <t xml:space="preserve"> is similar to trapezoid </t>
    </r>
    <r>
      <rPr>
        <rFont val="Arial"/>
        <i/>
        <color rgb="FF000000"/>
        <sz val="10.0"/>
      </rPr>
      <t>EFGH</t>
    </r>
    <r>
      <rPr>
        <rFont val="Arial"/>
        <i val="0"/>
        <color rgb="FF000000"/>
        <sz val="10.0"/>
      </rPr>
      <t xml:space="preserve">, where A, B, C, and D correspond to E, F, G, and H, respectively. The length of side </t>
    </r>
    <r>
      <rPr>
        <rFont val="Arial"/>
        <i/>
        <color rgb="FF000000"/>
        <sz val="10.0"/>
      </rPr>
      <t>AB</t>
    </r>
    <r>
      <rPr>
        <rFont val="Arial"/>
        <i val="0"/>
        <color rgb="FF000000"/>
        <sz val="10.0"/>
      </rPr>
      <t xml:space="preserve"> is 55 inches.</t>
    </r>
  </si>
  <si>
    <r>
      <rPr>
        <rFont val="Arial"/>
        <i val="0"/>
        <color rgb="FF000000"/>
        <sz val="10.0"/>
      </rPr>
      <t xml:space="preserve">What is the length, in inches, of side </t>
    </r>
    <r>
      <rPr>
        <rFont val="Arial"/>
        <i/>
        <color rgb="FF000000"/>
        <sz val="10.0"/>
      </rPr>
      <t>EF</t>
    </r>
    <r>
      <rPr>
        <rFont val="Arial"/>
        <i val="0"/>
        <color rgb="FF000000"/>
        <sz val="10.0"/>
      </rPr>
      <t>?</t>
    </r>
  </si>
  <si>
    <t>In triangle JKL, the measure of angle J is $(90b)°$, the measure of angle K is $(69a)°$, and the measure of angle L is $(21a)°$, where a and b are constants. Which of the following must be true?</t>
  </si>
  <si>
    <t>$\cos L &gt; \sin K$</t>
  </si>
  <si>
    <t>$\cos L = \sin K$</t>
  </si>
  <si>
    <t>$\cos L &lt; \sin K$</t>
  </si>
  <si>
    <t>There is not enough information to compare the values of $\cos L$ and $\sin 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</si>
</sst>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4">
    <font>
      <sz val="10.0"/>
      <color rgb="FF000000"/>
      <name val="Arial"/>
      <scheme val="minor"/>
    </font>
    <font>
      <color theme="1"/>
      <name val="Arial"/>
      <scheme val="minor"/>
    </font>
    <font>
      <sz val="10.0"/>
      <color rgb="FF000000"/>
      <name val="Arial"/>
    </font>
    <font>
      <i/>
      <sz val="10.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readingOrder="0"/>
    </xf>
    <xf borderId="0" fillId="0" fontId="2" numFmtId="0" xfId="0" applyAlignment="1" applyFont="1">
      <alignment readingOrder="0"/>
    </xf>
    <xf borderId="0" fillId="0" fontId="1" numFmtId="0" xfId="0" applyFont="1"/>
    <xf borderId="0" fillId="0" fontId="2" numFmtId="164" xfId="0" applyAlignment="1" applyFont="1" applyNumberFormat="1">
      <alignment readingOrder="0"/>
    </xf>
    <xf borderId="0" fillId="0" fontId="2" numFmtId="10" xfId="0" applyAlignment="1" applyFont="1" applyNumberFormat="1">
      <alignment readingOrder="0"/>
    </xf>
    <xf borderId="0" fillId="0" fontId="3" numFmtId="0" xfId="0" applyAlignment="1" applyFont="1">
      <alignment readingOrder="0"/>
    </xf>
    <xf borderId="0" fillId="0" fontId="2" numFmtId="3" xfId="0" applyAlignment="1" applyFont="1" applyNumberFormat="1">
      <alignment readingOrder="0"/>
    </xf>
    <xf borderId="0" fillId="0" fontId="2" numFmtId="46"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3">
        <v>1.0</v>
      </c>
      <c r="B2" s="3">
        <v>1.0</v>
      </c>
    </row>
    <row r="3">
      <c r="A3" s="3">
        <v>1.0</v>
      </c>
      <c r="B3" s="3">
        <v>2.0</v>
      </c>
    </row>
    <row r="4">
      <c r="A4" s="3">
        <v>1.0</v>
      </c>
      <c r="B4" s="3">
        <v>3.0</v>
      </c>
    </row>
    <row r="5">
      <c r="A5" s="3">
        <v>1.0</v>
      </c>
      <c r="B5" s="3">
        <v>4.0</v>
      </c>
    </row>
    <row r="6">
      <c r="A6" s="3">
        <v>1.0</v>
      </c>
      <c r="B6" s="3">
        <v>5.0</v>
      </c>
    </row>
    <row r="7">
      <c r="A7" s="3">
        <v>1.0</v>
      </c>
      <c r="B7" s="3">
        <v>6.0</v>
      </c>
    </row>
    <row r="8">
      <c r="A8" s="3">
        <v>1.0</v>
      </c>
      <c r="B8" s="3">
        <v>7.0</v>
      </c>
    </row>
    <row r="9">
      <c r="A9" s="3">
        <v>1.0</v>
      </c>
      <c r="B9" s="3">
        <v>8.0</v>
      </c>
    </row>
    <row r="10">
      <c r="A10" s="3">
        <v>1.0</v>
      </c>
      <c r="B10" s="3">
        <v>9.0</v>
      </c>
    </row>
    <row r="11">
      <c r="A11" s="3">
        <v>1.0</v>
      </c>
      <c r="B11" s="3">
        <v>10.0</v>
      </c>
    </row>
    <row r="12">
      <c r="A12" s="3">
        <v>1.0</v>
      </c>
      <c r="B12" s="3">
        <v>11.0</v>
      </c>
    </row>
    <row r="13">
      <c r="A13" s="3">
        <v>1.0</v>
      </c>
      <c r="B13" s="3">
        <v>12.0</v>
      </c>
    </row>
    <row r="14">
      <c r="A14" s="3">
        <v>1.0</v>
      </c>
      <c r="B14" s="3">
        <v>13.0</v>
      </c>
    </row>
    <row r="15">
      <c r="A15" s="3">
        <v>1.0</v>
      </c>
      <c r="B15" s="3">
        <v>14.0</v>
      </c>
    </row>
    <row r="16">
      <c r="A16" s="3">
        <v>1.0</v>
      </c>
      <c r="B16" s="3">
        <v>15.0</v>
      </c>
    </row>
    <row r="17">
      <c r="A17" s="3">
        <v>1.0</v>
      </c>
      <c r="B17" s="3">
        <v>16.0</v>
      </c>
    </row>
    <row r="18">
      <c r="A18" s="3">
        <v>1.0</v>
      </c>
      <c r="B18" s="3">
        <v>17.0</v>
      </c>
    </row>
    <row r="19">
      <c r="A19" s="3">
        <v>1.0</v>
      </c>
      <c r="B19" s="3">
        <v>18.0</v>
      </c>
    </row>
    <row r="20">
      <c r="A20" s="3">
        <v>1.0</v>
      </c>
      <c r="B20" s="3">
        <v>19.0</v>
      </c>
    </row>
    <row r="21">
      <c r="A21" s="3">
        <v>1.0</v>
      </c>
      <c r="B21" s="3">
        <v>20.0</v>
      </c>
    </row>
    <row r="22">
      <c r="A22" s="3">
        <v>1.0</v>
      </c>
      <c r="B22" s="3">
        <v>21.0</v>
      </c>
    </row>
    <row r="23">
      <c r="A23" s="3">
        <v>1.0</v>
      </c>
      <c r="B23" s="3">
        <v>22.0</v>
      </c>
    </row>
    <row r="24">
      <c r="A24" s="3">
        <v>1.0</v>
      </c>
      <c r="B24" s="3">
        <v>23.0</v>
      </c>
    </row>
    <row r="25">
      <c r="A25" s="3">
        <v>1.0</v>
      </c>
      <c r="B25" s="3">
        <v>24.0</v>
      </c>
    </row>
    <row r="26">
      <c r="A26" s="3">
        <v>1.0</v>
      </c>
      <c r="B26" s="3">
        <v>25.0</v>
      </c>
    </row>
    <row r="27">
      <c r="A27" s="3">
        <v>1.0</v>
      </c>
      <c r="B27" s="3">
        <v>26.0</v>
      </c>
    </row>
    <row r="28">
      <c r="A28" s="3">
        <v>1.0</v>
      </c>
      <c r="B28" s="3">
        <v>27.0</v>
      </c>
    </row>
    <row r="29">
      <c r="A29" s="3">
        <v>2.0</v>
      </c>
      <c r="B29" s="3">
        <v>1.0</v>
      </c>
    </row>
    <row r="30">
      <c r="A30" s="3">
        <v>2.0</v>
      </c>
      <c r="B30" s="3">
        <v>2.0</v>
      </c>
    </row>
    <row r="31">
      <c r="A31" s="3">
        <v>2.0</v>
      </c>
      <c r="B31" s="3">
        <v>3.0</v>
      </c>
    </row>
    <row r="32">
      <c r="A32" s="3">
        <v>2.0</v>
      </c>
      <c r="B32" s="3">
        <v>4.0</v>
      </c>
    </row>
    <row r="33">
      <c r="A33" s="3">
        <v>2.0</v>
      </c>
      <c r="B33" s="3">
        <v>5.0</v>
      </c>
    </row>
    <row r="34">
      <c r="A34" s="3">
        <v>2.0</v>
      </c>
      <c r="B34" s="3">
        <v>6.0</v>
      </c>
    </row>
    <row r="35">
      <c r="A35" s="3">
        <v>2.0</v>
      </c>
      <c r="B35" s="3">
        <v>7.0</v>
      </c>
    </row>
    <row r="36">
      <c r="A36" s="3">
        <v>2.0</v>
      </c>
      <c r="B36" s="3">
        <v>8.0</v>
      </c>
    </row>
    <row r="37">
      <c r="A37" s="3">
        <v>2.0</v>
      </c>
      <c r="B37" s="3">
        <v>9.0</v>
      </c>
    </row>
    <row r="38">
      <c r="A38" s="3">
        <v>2.0</v>
      </c>
      <c r="B38" s="3">
        <v>10.0</v>
      </c>
    </row>
    <row r="39">
      <c r="A39" s="3">
        <v>2.0</v>
      </c>
      <c r="B39" s="3">
        <v>11.0</v>
      </c>
    </row>
    <row r="40">
      <c r="A40" s="3">
        <v>2.0</v>
      </c>
      <c r="B40" s="3">
        <v>12.0</v>
      </c>
    </row>
    <row r="41">
      <c r="A41" s="3">
        <v>2.0</v>
      </c>
      <c r="B41" s="3">
        <v>13.0</v>
      </c>
    </row>
    <row r="42">
      <c r="A42" s="3">
        <v>2.0</v>
      </c>
      <c r="B42" s="3">
        <v>14.0</v>
      </c>
    </row>
    <row r="43">
      <c r="A43" s="3">
        <v>2.0</v>
      </c>
      <c r="B43" s="3">
        <v>15.0</v>
      </c>
    </row>
    <row r="44">
      <c r="A44" s="3">
        <v>2.0</v>
      </c>
      <c r="B44" s="3">
        <v>16.0</v>
      </c>
    </row>
    <row r="45">
      <c r="A45" s="3">
        <v>2.0</v>
      </c>
      <c r="B45" s="3">
        <v>17.0</v>
      </c>
    </row>
    <row r="46">
      <c r="A46" s="3">
        <v>2.0</v>
      </c>
      <c r="B46" s="3">
        <v>18.0</v>
      </c>
    </row>
    <row r="47">
      <c r="A47" s="3">
        <v>2.0</v>
      </c>
      <c r="B47" s="3">
        <v>19.0</v>
      </c>
    </row>
    <row r="48">
      <c r="A48" s="3">
        <v>2.0</v>
      </c>
      <c r="B48" s="3">
        <v>20.0</v>
      </c>
    </row>
    <row r="49">
      <c r="A49" s="3">
        <v>2.0</v>
      </c>
      <c r="B49" s="3">
        <v>21.0</v>
      </c>
    </row>
    <row r="50">
      <c r="A50" s="3">
        <v>2.0</v>
      </c>
      <c r="B50" s="3">
        <v>22.0</v>
      </c>
    </row>
    <row r="51">
      <c r="A51" s="3">
        <v>2.0</v>
      </c>
      <c r="B51" s="3">
        <v>23.0</v>
      </c>
    </row>
    <row r="52">
      <c r="A52" s="3">
        <v>2.0</v>
      </c>
      <c r="B52" s="3">
        <v>24.0</v>
      </c>
    </row>
    <row r="53">
      <c r="A53" s="3">
        <v>2.0</v>
      </c>
      <c r="B53" s="3">
        <v>25.0</v>
      </c>
    </row>
    <row r="54">
      <c r="A54" s="3">
        <v>2.0</v>
      </c>
      <c r="B54" s="3">
        <v>26.0</v>
      </c>
    </row>
    <row r="55">
      <c r="A55" s="3">
        <v>2.0</v>
      </c>
      <c r="B55" s="3">
        <v>27.0</v>
      </c>
    </row>
    <row r="56">
      <c r="A56" s="3">
        <v>1.0</v>
      </c>
      <c r="B56" s="3">
        <v>1.0</v>
      </c>
    </row>
    <row r="57">
      <c r="A57" s="3">
        <v>1.0</v>
      </c>
      <c r="B57" s="3">
        <v>2.0</v>
      </c>
    </row>
    <row r="58">
      <c r="A58" s="3">
        <v>1.0</v>
      </c>
      <c r="B58" s="3">
        <v>3.0</v>
      </c>
    </row>
    <row r="59">
      <c r="A59" s="3">
        <v>1.0</v>
      </c>
      <c r="B59" s="3">
        <v>4.0</v>
      </c>
    </row>
    <row r="60">
      <c r="A60" s="3">
        <v>1.0</v>
      </c>
      <c r="B60" s="3">
        <v>5.0</v>
      </c>
    </row>
    <row r="61">
      <c r="A61" s="3">
        <v>1.0</v>
      </c>
      <c r="B61" s="3">
        <v>6.0</v>
      </c>
    </row>
    <row r="62">
      <c r="A62" s="3">
        <v>1.0</v>
      </c>
      <c r="B62" s="3">
        <v>7.0</v>
      </c>
    </row>
    <row r="63">
      <c r="A63" s="3">
        <v>1.0</v>
      </c>
      <c r="B63" s="3">
        <v>8.0</v>
      </c>
    </row>
    <row r="64">
      <c r="A64" s="3">
        <v>1.0</v>
      </c>
      <c r="B64" s="3">
        <v>9.0</v>
      </c>
    </row>
    <row r="65">
      <c r="A65" s="3">
        <v>1.0</v>
      </c>
      <c r="B65" s="3">
        <v>10.0</v>
      </c>
    </row>
    <row r="66">
      <c r="A66" s="3">
        <v>1.0</v>
      </c>
      <c r="B66" s="3">
        <v>11.0</v>
      </c>
    </row>
    <row r="67">
      <c r="A67" s="3">
        <v>1.0</v>
      </c>
      <c r="B67" s="3">
        <v>12.0</v>
      </c>
    </row>
    <row r="68">
      <c r="A68" s="3">
        <v>1.0</v>
      </c>
      <c r="B68" s="3">
        <v>13.0</v>
      </c>
    </row>
    <row r="69">
      <c r="A69" s="3">
        <v>1.0</v>
      </c>
      <c r="B69" s="3">
        <v>14.0</v>
      </c>
    </row>
    <row r="70">
      <c r="A70" s="3">
        <v>1.0</v>
      </c>
      <c r="B70" s="3">
        <v>15.0</v>
      </c>
    </row>
    <row r="71">
      <c r="A71" s="3">
        <v>1.0</v>
      </c>
      <c r="B71" s="3">
        <v>16.0</v>
      </c>
    </row>
    <row r="72">
      <c r="A72" s="3">
        <v>1.0</v>
      </c>
      <c r="B72" s="3">
        <v>17.0</v>
      </c>
    </row>
    <row r="73">
      <c r="A73" s="3">
        <v>1.0</v>
      </c>
      <c r="B73" s="3">
        <v>18.0</v>
      </c>
    </row>
    <row r="74">
      <c r="A74" s="3">
        <v>1.0</v>
      </c>
      <c r="B74" s="3">
        <v>19.0</v>
      </c>
    </row>
    <row r="75">
      <c r="A75" s="3">
        <v>1.0</v>
      </c>
      <c r="B75" s="3">
        <v>20.0</v>
      </c>
    </row>
    <row r="76">
      <c r="A76" s="3">
        <v>1.0</v>
      </c>
      <c r="B76" s="3">
        <v>21.0</v>
      </c>
    </row>
    <row r="77">
      <c r="A77" s="3">
        <v>1.0</v>
      </c>
      <c r="B77" s="3">
        <v>22.0</v>
      </c>
    </row>
    <row r="78">
      <c r="A78" s="3">
        <v>1.0</v>
      </c>
      <c r="B78" s="3">
        <v>23.0</v>
      </c>
    </row>
    <row r="79">
      <c r="A79" s="3">
        <v>1.0</v>
      </c>
      <c r="B79" s="3">
        <v>24.0</v>
      </c>
    </row>
    <row r="80">
      <c r="A80" s="3">
        <v>1.0</v>
      </c>
      <c r="B80" s="3">
        <v>25.0</v>
      </c>
    </row>
    <row r="81">
      <c r="A81" s="3">
        <v>1.0</v>
      </c>
      <c r="B81" s="3">
        <v>26.0</v>
      </c>
    </row>
    <row r="82">
      <c r="A82" s="3">
        <v>1.0</v>
      </c>
      <c r="B82" s="3">
        <v>27.0</v>
      </c>
    </row>
    <row r="83">
      <c r="A83" s="3">
        <v>2.0</v>
      </c>
      <c r="B83" s="3">
        <v>1.0</v>
      </c>
    </row>
    <row r="84">
      <c r="A84" s="3">
        <v>2.0</v>
      </c>
      <c r="B84" s="3">
        <v>2.0</v>
      </c>
    </row>
    <row r="85">
      <c r="A85" s="3">
        <v>2.0</v>
      </c>
      <c r="B85" s="3">
        <v>3.0</v>
      </c>
    </row>
    <row r="86">
      <c r="A86" s="3">
        <v>2.0</v>
      </c>
      <c r="B86" s="3">
        <v>4.0</v>
      </c>
    </row>
    <row r="87">
      <c r="A87" s="3">
        <v>2.0</v>
      </c>
      <c r="B87" s="3">
        <v>5.0</v>
      </c>
    </row>
    <row r="88">
      <c r="A88" s="3">
        <v>2.0</v>
      </c>
      <c r="B88" s="3">
        <v>6.0</v>
      </c>
    </row>
    <row r="89">
      <c r="A89" s="3">
        <v>2.0</v>
      </c>
      <c r="B89" s="3">
        <v>7.0</v>
      </c>
    </row>
    <row r="90">
      <c r="A90" s="3">
        <v>2.0</v>
      </c>
      <c r="B90" s="3">
        <v>8.0</v>
      </c>
    </row>
    <row r="91">
      <c r="A91" s="3">
        <v>2.0</v>
      </c>
      <c r="B91" s="3">
        <v>9.0</v>
      </c>
    </row>
    <row r="92">
      <c r="A92" s="3">
        <v>2.0</v>
      </c>
      <c r="B92" s="3">
        <v>10.0</v>
      </c>
    </row>
    <row r="93">
      <c r="A93" s="3">
        <v>2.0</v>
      </c>
      <c r="B93" s="3">
        <v>11.0</v>
      </c>
    </row>
    <row r="94">
      <c r="A94" s="3">
        <v>2.0</v>
      </c>
      <c r="B94" s="3">
        <v>12.0</v>
      </c>
    </row>
    <row r="95">
      <c r="A95" s="3">
        <v>2.0</v>
      </c>
      <c r="B95" s="3">
        <v>13.0</v>
      </c>
    </row>
    <row r="96">
      <c r="A96" s="3">
        <v>2.0</v>
      </c>
      <c r="B96" s="3">
        <v>14.0</v>
      </c>
    </row>
    <row r="97">
      <c r="A97" s="3">
        <v>2.0</v>
      </c>
      <c r="B97" s="3">
        <v>15.0</v>
      </c>
    </row>
    <row r="98">
      <c r="A98" s="3">
        <v>2.0</v>
      </c>
      <c r="B98" s="3">
        <v>16.0</v>
      </c>
    </row>
    <row r="99">
      <c r="A99" s="3">
        <v>2.0</v>
      </c>
      <c r="B99" s="3">
        <v>17.0</v>
      </c>
    </row>
    <row r="100">
      <c r="A100" s="3">
        <v>2.0</v>
      </c>
      <c r="B100" s="3">
        <v>18.0</v>
      </c>
    </row>
    <row r="101">
      <c r="A101" s="3">
        <v>2.0</v>
      </c>
      <c r="B101" s="3">
        <v>19.0</v>
      </c>
    </row>
    <row r="102">
      <c r="A102" s="3">
        <v>2.0</v>
      </c>
      <c r="B102" s="3">
        <v>20.0</v>
      </c>
    </row>
    <row r="103">
      <c r="A103" s="3">
        <v>2.0</v>
      </c>
      <c r="B103" s="3">
        <v>21.0</v>
      </c>
    </row>
    <row r="104">
      <c r="A104" s="3">
        <v>2.0</v>
      </c>
      <c r="B104" s="3">
        <v>22.0</v>
      </c>
    </row>
    <row r="105">
      <c r="A105" s="3">
        <v>2.0</v>
      </c>
      <c r="B105" s="3">
        <v>23.0</v>
      </c>
    </row>
    <row r="106">
      <c r="A106" s="3">
        <v>2.0</v>
      </c>
      <c r="B106" s="3">
        <v>24.0</v>
      </c>
    </row>
    <row r="107">
      <c r="A107" s="3">
        <v>2.0</v>
      </c>
      <c r="B107" s="3">
        <v>25.0</v>
      </c>
    </row>
    <row r="108">
      <c r="A108" s="3">
        <v>2.0</v>
      </c>
      <c r="B108" s="3">
        <v>26.0</v>
      </c>
    </row>
    <row r="109">
      <c r="A109" s="3">
        <v>2.0</v>
      </c>
      <c r="B109" s="3">
        <v>27.0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c r="C1" s="2" t="s">
        <v>2</v>
      </c>
      <c r="D1" s="2" t="s">
        <v>3</v>
      </c>
      <c r="E1" s="2" t="s">
        <v>4</v>
      </c>
      <c r="F1" s="2" t="s">
        <v>5</v>
      </c>
      <c r="G1" s="2" t="s">
        <v>6</v>
      </c>
      <c r="H1" s="2" t="s">
        <v>7</v>
      </c>
      <c r="I1" s="2" t="s">
        <v>8</v>
      </c>
      <c r="J1" s="2" t="s">
        <v>9</v>
      </c>
      <c r="K1" s="2" t="s">
        <v>10</v>
      </c>
      <c r="L1" s="2" t="s">
        <v>11</v>
      </c>
      <c r="M1" s="2" t="s">
        <v>12</v>
      </c>
    </row>
    <row r="2">
      <c r="A2" s="3">
        <v>1.0</v>
      </c>
      <c r="B2" s="3">
        <v>1.0</v>
      </c>
      <c r="C2" s="2" t="s">
        <v>13</v>
      </c>
      <c r="D2" s="4" t="s">
        <v>31</v>
      </c>
      <c r="E2" s="2" t="s">
        <v>15</v>
      </c>
      <c r="F2" s="2" t="s">
        <v>35</v>
      </c>
      <c r="G2" s="2" t="s">
        <v>38</v>
      </c>
      <c r="H2" s="2" t="s">
        <v>39</v>
      </c>
      <c r="I2" s="2" t="s">
        <v>40</v>
      </c>
      <c r="J2" s="2" t="s">
        <v>41</v>
      </c>
      <c r="K2" s="2" t="s">
        <v>42</v>
      </c>
      <c r="L2" s="2" t="s">
        <v>22</v>
      </c>
      <c r="M2" s="2" t="s">
        <v>43</v>
      </c>
    </row>
    <row r="3">
      <c r="A3" s="3">
        <v>1.0</v>
      </c>
      <c r="B3" s="3">
        <v>2.0</v>
      </c>
      <c r="C3" s="2" t="s">
        <v>13</v>
      </c>
      <c r="D3" s="2" t="s">
        <v>44</v>
      </c>
      <c r="E3" s="2" t="s">
        <v>15</v>
      </c>
      <c r="F3" s="2" t="s">
        <v>45</v>
      </c>
      <c r="G3" s="2" t="s">
        <v>47</v>
      </c>
      <c r="H3" s="2" t="s">
        <v>48</v>
      </c>
      <c r="I3" s="2" t="s">
        <v>49</v>
      </c>
      <c r="J3" s="2" t="s">
        <v>20</v>
      </c>
      <c r="K3" s="2" t="s">
        <v>21</v>
      </c>
      <c r="L3" s="2" t="s">
        <v>22</v>
      </c>
      <c r="M3" s="2" t="s">
        <v>23</v>
      </c>
    </row>
    <row r="4">
      <c r="A4" s="3">
        <v>1.0</v>
      </c>
      <c r="B4" s="3">
        <v>3.0</v>
      </c>
      <c r="C4" s="2" t="s">
        <v>13</v>
      </c>
      <c r="D4" s="4" t="s">
        <v>57</v>
      </c>
      <c r="E4" s="2" t="s">
        <v>15</v>
      </c>
      <c r="F4" s="2" t="s">
        <v>58</v>
      </c>
      <c r="G4" s="2" t="s">
        <v>59</v>
      </c>
      <c r="H4" s="2" t="s">
        <v>60</v>
      </c>
      <c r="I4" s="2" t="s">
        <v>62</v>
      </c>
      <c r="J4" s="2" t="s">
        <v>41</v>
      </c>
      <c r="K4" s="2" t="s">
        <v>21</v>
      </c>
      <c r="L4" s="2" t="s">
        <v>22</v>
      </c>
      <c r="M4" s="2" t="s">
        <v>23</v>
      </c>
    </row>
    <row r="5">
      <c r="A5" s="3">
        <v>1.0</v>
      </c>
      <c r="B5" s="3">
        <v>4.0</v>
      </c>
      <c r="C5" s="2" t="s">
        <v>13</v>
      </c>
      <c r="D5" s="2" t="s">
        <v>65</v>
      </c>
      <c r="E5" s="2" t="s">
        <v>15</v>
      </c>
      <c r="F5" s="2" t="s">
        <v>68</v>
      </c>
      <c r="G5" s="2" t="s">
        <v>69</v>
      </c>
      <c r="H5" s="2" t="s">
        <v>70</v>
      </c>
      <c r="I5" s="2" t="s">
        <v>71</v>
      </c>
      <c r="J5" s="2" t="s">
        <v>37</v>
      </c>
      <c r="K5" s="2" t="s">
        <v>21</v>
      </c>
      <c r="L5" s="2" t="s">
        <v>22</v>
      </c>
      <c r="M5" s="2" t="s">
        <v>23</v>
      </c>
    </row>
    <row r="6">
      <c r="A6" s="3">
        <v>1.0</v>
      </c>
      <c r="B6" s="3">
        <v>5.0</v>
      </c>
      <c r="C6" s="2" t="s">
        <v>13</v>
      </c>
      <c r="D6" s="4" t="s">
        <v>74</v>
      </c>
      <c r="E6" s="2" t="s">
        <v>75</v>
      </c>
      <c r="F6" s="2" t="s">
        <v>76</v>
      </c>
      <c r="G6" s="2" t="s">
        <v>77</v>
      </c>
      <c r="H6" s="2" t="s">
        <v>78</v>
      </c>
      <c r="I6" s="2" t="s">
        <v>79</v>
      </c>
      <c r="J6" s="2" t="s">
        <v>41</v>
      </c>
      <c r="K6" s="2" t="s">
        <v>81</v>
      </c>
      <c r="L6" s="2" t="s">
        <v>82</v>
      </c>
      <c r="M6" s="2" t="s">
        <v>23</v>
      </c>
    </row>
    <row r="7">
      <c r="A7" s="3">
        <v>1.0</v>
      </c>
      <c r="B7" s="3">
        <v>6.0</v>
      </c>
      <c r="C7" s="2" t="s">
        <v>13</v>
      </c>
      <c r="D7" s="2" t="s">
        <v>84</v>
      </c>
      <c r="E7" s="2" t="s">
        <v>86</v>
      </c>
      <c r="F7" s="2" t="s">
        <v>87</v>
      </c>
      <c r="G7" s="2" t="s">
        <v>89</v>
      </c>
      <c r="H7" s="2" t="s">
        <v>90</v>
      </c>
      <c r="I7" s="2" t="s">
        <v>91</v>
      </c>
      <c r="J7" s="2" t="s">
        <v>41</v>
      </c>
      <c r="K7" s="2" t="s">
        <v>21</v>
      </c>
      <c r="L7" s="2" t="s">
        <v>82</v>
      </c>
      <c r="M7" s="2" t="s">
        <v>23</v>
      </c>
    </row>
    <row r="8">
      <c r="A8" s="3">
        <v>1.0</v>
      </c>
      <c r="B8" s="3">
        <v>7.0</v>
      </c>
      <c r="C8" s="2" t="s">
        <v>13</v>
      </c>
      <c r="D8" s="2" t="s">
        <v>94</v>
      </c>
      <c r="E8" s="2" t="s">
        <v>86</v>
      </c>
      <c r="F8" s="2" t="s">
        <v>97</v>
      </c>
      <c r="G8" s="2" t="s">
        <v>98</v>
      </c>
      <c r="H8" s="2" t="s">
        <v>99</v>
      </c>
      <c r="I8" s="2" t="s">
        <v>101</v>
      </c>
      <c r="J8" s="2" t="s">
        <v>41</v>
      </c>
      <c r="K8" s="2" t="s">
        <v>81</v>
      </c>
      <c r="L8" s="2" t="s">
        <v>82</v>
      </c>
      <c r="M8" s="2" t="s">
        <v>92</v>
      </c>
    </row>
    <row r="9">
      <c r="A9" s="3">
        <v>1.0</v>
      </c>
      <c r="B9" s="3">
        <v>8.0</v>
      </c>
      <c r="C9" s="2" t="s">
        <v>13</v>
      </c>
      <c r="D9" s="2" t="s">
        <v>106</v>
      </c>
      <c r="E9" s="2" t="s">
        <v>107</v>
      </c>
      <c r="F9" s="2" t="s">
        <v>108</v>
      </c>
      <c r="G9" s="2" t="s">
        <v>109</v>
      </c>
      <c r="H9" s="2" t="s">
        <v>110</v>
      </c>
      <c r="I9" s="2" t="s">
        <v>111</v>
      </c>
      <c r="J9" s="2" t="s">
        <v>41</v>
      </c>
      <c r="K9" s="2" t="s">
        <v>33</v>
      </c>
      <c r="L9" s="2" t="s">
        <v>112</v>
      </c>
      <c r="M9" s="2" t="s">
        <v>92</v>
      </c>
    </row>
    <row r="10">
      <c r="A10" s="3">
        <v>1.0</v>
      </c>
      <c r="B10" s="3">
        <v>9.0</v>
      </c>
      <c r="C10" s="2" t="s">
        <v>13</v>
      </c>
      <c r="D10" s="2" t="s">
        <v>118</v>
      </c>
      <c r="E10" s="2" t="s">
        <v>120</v>
      </c>
      <c r="F10" s="2" t="s">
        <v>122</v>
      </c>
      <c r="G10" s="2" t="s">
        <v>124</v>
      </c>
      <c r="H10" s="2" t="s">
        <v>126</v>
      </c>
      <c r="I10" s="2" t="s">
        <v>127</v>
      </c>
      <c r="J10" s="2" t="s">
        <v>20</v>
      </c>
      <c r="K10" s="2" t="s">
        <v>33</v>
      </c>
      <c r="L10" s="2" t="s">
        <v>112</v>
      </c>
      <c r="M10" s="2" t="s">
        <v>92</v>
      </c>
    </row>
    <row r="11">
      <c r="A11" s="3">
        <v>1.0</v>
      </c>
      <c r="B11" s="3">
        <v>10.0</v>
      </c>
      <c r="C11" s="2" t="s">
        <v>13</v>
      </c>
      <c r="D11" s="2" t="s">
        <v>130</v>
      </c>
      <c r="E11" s="2" t="s">
        <v>131</v>
      </c>
      <c r="F11" s="2" t="s">
        <v>132</v>
      </c>
      <c r="G11" s="2" t="s">
        <v>133</v>
      </c>
      <c r="H11" s="2" t="s">
        <v>134</v>
      </c>
      <c r="I11" s="2" t="s">
        <v>135</v>
      </c>
      <c r="J11" s="2" t="s">
        <v>41</v>
      </c>
      <c r="K11" s="2" t="s">
        <v>33</v>
      </c>
      <c r="L11" s="2" t="s">
        <v>136</v>
      </c>
      <c r="M11" s="2" t="s">
        <v>92</v>
      </c>
    </row>
    <row r="12">
      <c r="A12" s="3">
        <v>1.0</v>
      </c>
      <c r="B12" s="3">
        <v>11.0</v>
      </c>
      <c r="C12" s="2" t="s">
        <v>13</v>
      </c>
      <c r="D12" s="6" t="s">
        <v>137</v>
      </c>
      <c r="E12" s="2" t="s">
        <v>138</v>
      </c>
      <c r="F12" s="2" t="s">
        <v>139</v>
      </c>
      <c r="G12" s="2" t="s">
        <v>140</v>
      </c>
      <c r="H12" s="2" t="s">
        <v>141</v>
      </c>
      <c r="I12" s="2" t="s">
        <v>142</v>
      </c>
      <c r="J12" s="2" t="s">
        <v>41</v>
      </c>
      <c r="K12" s="2" t="s">
        <v>21</v>
      </c>
      <c r="L12" s="2" t="s">
        <v>136</v>
      </c>
      <c r="M12" s="2" t="s">
        <v>23</v>
      </c>
    </row>
    <row r="13">
      <c r="A13" s="3">
        <v>1.0</v>
      </c>
      <c r="B13" s="3">
        <v>12.0</v>
      </c>
      <c r="C13" s="2" t="s">
        <v>13</v>
      </c>
      <c r="D13" s="2" t="s">
        <v>143</v>
      </c>
      <c r="E13" s="2" t="s">
        <v>144</v>
      </c>
      <c r="F13" s="2" t="s">
        <v>145</v>
      </c>
      <c r="G13" s="2" t="s">
        <v>146</v>
      </c>
      <c r="H13" s="2" t="s">
        <v>147</v>
      </c>
      <c r="I13" s="2" t="s">
        <v>148</v>
      </c>
      <c r="J13" s="2" t="s">
        <v>20</v>
      </c>
      <c r="K13" s="2" t="s">
        <v>33</v>
      </c>
      <c r="L13" s="2" t="s">
        <v>136</v>
      </c>
      <c r="M13" s="2" t="s">
        <v>92</v>
      </c>
    </row>
    <row r="14">
      <c r="A14" s="3">
        <v>1.0</v>
      </c>
      <c r="B14" s="3">
        <v>13.0</v>
      </c>
      <c r="C14" s="2" t="s">
        <v>13</v>
      </c>
      <c r="D14" s="4" t="s">
        <v>149</v>
      </c>
      <c r="E14" s="4" t="s">
        <v>150</v>
      </c>
      <c r="F14" s="2" t="s">
        <v>151</v>
      </c>
      <c r="G14" s="2" t="s">
        <v>152</v>
      </c>
      <c r="H14" s="2" t="s">
        <v>153</v>
      </c>
      <c r="I14" s="2" t="s">
        <v>154</v>
      </c>
      <c r="J14" s="2" t="s">
        <v>37</v>
      </c>
      <c r="K14" s="2" t="s">
        <v>42</v>
      </c>
      <c r="L14" s="2" t="s">
        <v>136</v>
      </c>
      <c r="M14" s="2" t="s">
        <v>23</v>
      </c>
    </row>
    <row r="15">
      <c r="A15" s="3">
        <v>1.0</v>
      </c>
      <c r="B15" s="3">
        <v>14.0</v>
      </c>
      <c r="C15" s="2" t="s">
        <v>13</v>
      </c>
      <c r="D15" s="2" t="s">
        <v>155</v>
      </c>
      <c r="E15" s="2" t="s">
        <v>156</v>
      </c>
      <c r="F15" s="2" t="s">
        <v>157</v>
      </c>
      <c r="G15" s="2" t="s">
        <v>158</v>
      </c>
      <c r="H15" s="1" t="s">
        <v>159</v>
      </c>
      <c r="I15" s="1" t="s">
        <v>159</v>
      </c>
      <c r="J15" s="2" t="s">
        <v>26</v>
      </c>
      <c r="K15" s="2" t="s">
        <v>33</v>
      </c>
      <c r="L15" s="2" t="s">
        <v>136</v>
      </c>
      <c r="M15" s="2" t="s">
        <v>92</v>
      </c>
    </row>
    <row r="16">
      <c r="A16" s="3">
        <v>1.0</v>
      </c>
      <c r="B16" s="3">
        <v>15.0</v>
      </c>
      <c r="C16" s="2" t="s">
        <v>13</v>
      </c>
      <c r="D16" s="2" t="s">
        <v>160</v>
      </c>
      <c r="E16" s="2" t="s">
        <v>161</v>
      </c>
      <c r="F16" s="2" t="s">
        <v>162</v>
      </c>
      <c r="G16" s="2" t="s">
        <v>163</v>
      </c>
      <c r="H16" s="2" t="s">
        <v>164</v>
      </c>
      <c r="I16" s="2" t="s">
        <v>165</v>
      </c>
      <c r="J16" s="2" t="s">
        <v>20</v>
      </c>
      <c r="K16" s="2" t="s">
        <v>33</v>
      </c>
      <c r="L16" s="2" t="s">
        <v>166</v>
      </c>
      <c r="M16" s="2" t="s">
        <v>23</v>
      </c>
    </row>
    <row r="17">
      <c r="A17" s="3">
        <v>1.0</v>
      </c>
      <c r="B17" s="3">
        <v>16.0</v>
      </c>
      <c r="C17" s="2" t="s">
        <v>13</v>
      </c>
      <c r="D17" s="2" t="s">
        <v>167</v>
      </c>
      <c r="E17" s="2" t="s">
        <v>168</v>
      </c>
      <c r="F17" s="2" t="s">
        <v>169</v>
      </c>
      <c r="G17" s="2" t="s">
        <v>170</v>
      </c>
      <c r="H17" s="2" t="s">
        <v>171</v>
      </c>
      <c r="I17" s="2" t="s">
        <v>172</v>
      </c>
      <c r="J17" s="2" t="s">
        <v>26</v>
      </c>
      <c r="K17" s="2" t="s">
        <v>42</v>
      </c>
      <c r="L17" s="2" t="s">
        <v>173</v>
      </c>
      <c r="M17" s="2" t="s">
        <v>23</v>
      </c>
    </row>
    <row r="18">
      <c r="A18" s="3">
        <v>1.0</v>
      </c>
      <c r="B18" s="3">
        <v>17.0</v>
      </c>
      <c r="C18" s="2" t="s">
        <v>13</v>
      </c>
      <c r="D18" s="4" t="s">
        <v>174</v>
      </c>
      <c r="E18" s="2" t="s">
        <v>168</v>
      </c>
      <c r="F18" s="2" t="s">
        <v>175</v>
      </c>
      <c r="G18" s="2" t="s">
        <v>176</v>
      </c>
      <c r="H18" s="2" t="s">
        <v>177</v>
      </c>
      <c r="I18" s="2" t="s">
        <v>178</v>
      </c>
      <c r="J18" s="2" t="s">
        <v>26</v>
      </c>
      <c r="K18" s="2" t="s">
        <v>42</v>
      </c>
      <c r="L18" s="2" t="s">
        <v>173</v>
      </c>
      <c r="M18" s="2" t="s">
        <v>23</v>
      </c>
    </row>
    <row r="19">
      <c r="A19" s="3">
        <v>1.0</v>
      </c>
      <c r="B19" s="3">
        <v>18.0</v>
      </c>
      <c r="C19" s="2" t="s">
        <v>13</v>
      </c>
      <c r="D19" s="2" t="s">
        <v>179</v>
      </c>
      <c r="E19" s="2" t="s">
        <v>168</v>
      </c>
      <c r="F19" s="2" t="s">
        <v>180</v>
      </c>
      <c r="G19" s="2" t="s">
        <v>181</v>
      </c>
      <c r="H19" s="2" t="s">
        <v>182</v>
      </c>
      <c r="I19" s="2" t="s">
        <v>183</v>
      </c>
      <c r="J19" s="2" t="s">
        <v>37</v>
      </c>
      <c r="K19" s="2" t="s">
        <v>33</v>
      </c>
      <c r="L19" s="2" t="s">
        <v>184</v>
      </c>
      <c r="M19" s="2" t="s">
        <v>23</v>
      </c>
    </row>
    <row r="20">
      <c r="A20" s="3">
        <v>1.0</v>
      </c>
      <c r="B20" s="3">
        <v>19.0</v>
      </c>
      <c r="C20" s="2" t="s">
        <v>13</v>
      </c>
      <c r="D20" s="2" t="s">
        <v>185</v>
      </c>
      <c r="E20" s="2" t="s">
        <v>168</v>
      </c>
      <c r="F20" s="2" t="s">
        <v>186</v>
      </c>
      <c r="G20" s="2" t="s">
        <v>187</v>
      </c>
      <c r="H20" s="2" t="s">
        <v>188</v>
      </c>
      <c r="I20" s="2" t="s">
        <v>189</v>
      </c>
      <c r="J20" s="2" t="s">
        <v>20</v>
      </c>
      <c r="K20" s="2" t="s">
        <v>21</v>
      </c>
      <c r="L20" s="2" t="s">
        <v>184</v>
      </c>
      <c r="M20" s="2" t="s">
        <v>23</v>
      </c>
    </row>
    <row r="21">
      <c r="A21" s="3">
        <v>1.0</v>
      </c>
      <c r="B21" s="3">
        <v>20.0</v>
      </c>
      <c r="C21" s="2" t="s">
        <v>13</v>
      </c>
      <c r="D21" s="2" t="s">
        <v>190</v>
      </c>
      <c r="E21" s="2" t="s">
        <v>168</v>
      </c>
      <c r="F21" s="2" t="s">
        <v>191</v>
      </c>
      <c r="G21" s="2" t="s">
        <v>192</v>
      </c>
      <c r="H21" s="2" t="s">
        <v>193</v>
      </c>
      <c r="I21" s="2" t="s">
        <v>194</v>
      </c>
      <c r="J21" s="2" t="s">
        <v>20</v>
      </c>
      <c r="K21" s="2" t="s">
        <v>33</v>
      </c>
      <c r="L21" s="2" t="s">
        <v>184</v>
      </c>
      <c r="M21" s="2" t="s">
        <v>23</v>
      </c>
    </row>
    <row r="22">
      <c r="A22" s="3">
        <v>1.0</v>
      </c>
      <c r="B22" s="3">
        <v>21.0</v>
      </c>
      <c r="C22" s="2" t="s">
        <v>13</v>
      </c>
      <c r="D22" s="2" t="s">
        <v>195</v>
      </c>
      <c r="E22" s="2" t="s">
        <v>196</v>
      </c>
      <c r="F22" s="2" t="s">
        <v>197</v>
      </c>
      <c r="G22" s="2" t="s">
        <v>198</v>
      </c>
      <c r="H22" s="2" t="s">
        <v>199</v>
      </c>
      <c r="I22" s="2" t="s">
        <v>200</v>
      </c>
      <c r="J22" s="2" t="s">
        <v>20</v>
      </c>
      <c r="K22" s="2" t="s">
        <v>42</v>
      </c>
      <c r="L22" s="2" t="s">
        <v>201</v>
      </c>
      <c r="M22" s="2" t="s">
        <v>23</v>
      </c>
    </row>
    <row r="23">
      <c r="A23" s="3">
        <v>1.0</v>
      </c>
      <c r="B23" s="3">
        <v>22.0</v>
      </c>
      <c r="C23" s="2" t="s">
        <v>13</v>
      </c>
      <c r="D23" s="2" t="s">
        <v>202</v>
      </c>
      <c r="E23" s="2" t="s">
        <v>196</v>
      </c>
      <c r="F23" s="2" t="s">
        <v>203</v>
      </c>
      <c r="G23" s="2" t="s">
        <v>204</v>
      </c>
      <c r="H23" s="2" t="s">
        <v>205</v>
      </c>
      <c r="I23" s="2" t="s">
        <v>206</v>
      </c>
      <c r="J23" s="2" t="s">
        <v>26</v>
      </c>
      <c r="K23" s="2" t="s">
        <v>33</v>
      </c>
      <c r="L23" s="2" t="s">
        <v>201</v>
      </c>
      <c r="M23" s="2" t="s">
        <v>23</v>
      </c>
    </row>
    <row r="24">
      <c r="A24" s="3">
        <v>1.0</v>
      </c>
      <c r="B24" s="3">
        <v>23.0</v>
      </c>
      <c r="C24" s="2" t="s">
        <v>13</v>
      </c>
      <c r="D24" s="2" t="s">
        <v>207</v>
      </c>
      <c r="E24" s="2" t="s">
        <v>196</v>
      </c>
      <c r="F24" s="2" t="s">
        <v>208</v>
      </c>
      <c r="G24" s="2" t="s">
        <v>209</v>
      </c>
      <c r="H24" s="2" t="s">
        <v>210</v>
      </c>
      <c r="I24" s="2" t="s">
        <v>211</v>
      </c>
      <c r="J24" s="2" t="s">
        <v>41</v>
      </c>
      <c r="K24" s="2" t="s">
        <v>21</v>
      </c>
      <c r="L24" s="2" t="s">
        <v>201</v>
      </c>
      <c r="M24" s="2" t="s">
        <v>92</v>
      </c>
    </row>
    <row r="25">
      <c r="A25" s="3">
        <v>1.0</v>
      </c>
      <c r="B25" s="3">
        <v>24.0</v>
      </c>
      <c r="C25" s="2" t="s">
        <v>13</v>
      </c>
      <c r="D25" s="4" t="s">
        <v>212</v>
      </c>
      <c r="E25" s="4" t="s">
        <v>213</v>
      </c>
      <c r="F25" s="4" t="s">
        <v>214</v>
      </c>
      <c r="G25" s="4" t="s">
        <v>215</v>
      </c>
      <c r="H25" s="4" t="s">
        <v>216</v>
      </c>
      <c r="I25" s="4" t="s">
        <v>217</v>
      </c>
      <c r="J25" s="2" t="s">
        <v>41</v>
      </c>
      <c r="K25" s="2" t="s">
        <v>81</v>
      </c>
      <c r="L25" s="2" t="s">
        <v>219</v>
      </c>
      <c r="M25" s="2" t="s">
        <v>43</v>
      </c>
    </row>
    <row r="26">
      <c r="A26" s="3">
        <v>1.0</v>
      </c>
      <c r="B26" s="3">
        <v>25.0</v>
      </c>
      <c r="C26" s="2" t="s">
        <v>13</v>
      </c>
      <c r="D26" s="2" t="s">
        <v>224</v>
      </c>
      <c r="E26" s="2" t="s">
        <v>225</v>
      </c>
      <c r="F26" s="2" t="s">
        <v>226</v>
      </c>
      <c r="G26" s="2" t="s">
        <v>229</v>
      </c>
      <c r="H26" s="2" t="s">
        <v>232</v>
      </c>
      <c r="I26" s="2" t="s">
        <v>235</v>
      </c>
      <c r="J26" s="2" t="s">
        <v>37</v>
      </c>
      <c r="K26" s="2" t="s">
        <v>21</v>
      </c>
      <c r="L26" s="2" t="s">
        <v>219</v>
      </c>
      <c r="M26" s="2" t="s">
        <v>92</v>
      </c>
    </row>
    <row r="27">
      <c r="A27" s="3">
        <v>1.0</v>
      </c>
      <c r="B27" s="3">
        <v>26.0</v>
      </c>
      <c r="C27" s="2" t="s">
        <v>13</v>
      </c>
      <c r="D27" s="2" t="s">
        <v>238</v>
      </c>
      <c r="E27" s="2" t="s">
        <v>241</v>
      </c>
      <c r="F27" s="2" t="s">
        <v>243</v>
      </c>
      <c r="G27" s="2" t="s">
        <v>244</v>
      </c>
      <c r="H27" s="2" t="s">
        <v>245</v>
      </c>
      <c r="I27" s="2" t="s">
        <v>246</v>
      </c>
      <c r="J27" s="2" t="s">
        <v>41</v>
      </c>
      <c r="K27" s="2" t="s">
        <v>21</v>
      </c>
      <c r="L27" s="2" t="s">
        <v>219</v>
      </c>
      <c r="M27" s="2" t="s">
        <v>43</v>
      </c>
    </row>
    <row r="28">
      <c r="A28" s="3">
        <v>1.0</v>
      </c>
      <c r="B28" s="3">
        <v>27.0</v>
      </c>
      <c r="C28" s="2" t="s">
        <v>13</v>
      </c>
      <c r="D28" s="4" t="s">
        <v>252</v>
      </c>
      <c r="E28" s="2" t="s">
        <v>253</v>
      </c>
      <c r="F28" s="2" t="s">
        <v>254</v>
      </c>
      <c r="G28" s="2" t="s">
        <v>255</v>
      </c>
      <c r="H28" s="4" t="s">
        <v>256</v>
      </c>
      <c r="I28" s="2" t="s">
        <v>257</v>
      </c>
      <c r="J28" s="2" t="s">
        <v>26</v>
      </c>
      <c r="K28" s="2" t="s">
        <v>81</v>
      </c>
      <c r="L28" s="2" t="s">
        <v>219</v>
      </c>
      <c r="M28" s="2" t="s">
        <v>23</v>
      </c>
    </row>
    <row r="29">
      <c r="A29" s="3">
        <v>2.0</v>
      </c>
      <c r="B29" s="3">
        <v>1.0</v>
      </c>
      <c r="C29" s="2" t="s">
        <v>13</v>
      </c>
      <c r="D29" s="4" t="s">
        <v>265</v>
      </c>
      <c r="E29" s="2" t="s">
        <v>266</v>
      </c>
      <c r="F29" s="2" t="s">
        <v>268</v>
      </c>
      <c r="G29" s="2" t="s">
        <v>271</v>
      </c>
      <c r="H29" s="2" t="s">
        <v>273</v>
      </c>
      <c r="I29" s="2" t="s">
        <v>274</v>
      </c>
      <c r="J29" s="2" t="s">
        <v>37</v>
      </c>
      <c r="K29" s="2" t="s">
        <v>81</v>
      </c>
      <c r="L29" s="2" t="s">
        <v>22</v>
      </c>
      <c r="M29" s="2" t="s">
        <v>23</v>
      </c>
    </row>
    <row r="30">
      <c r="A30" s="3">
        <v>2.0</v>
      </c>
      <c r="B30" s="3">
        <v>2.0</v>
      </c>
      <c r="C30" s="2" t="s">
        <v>13</v>
      </c>
      <c r="D30" s="2" t="s">
        <v>279</v>
      </c>
      <c r="E30" s="2" t="s">
        <v>15</v>
      </c>
      <c r="F30" s="2" t="s">
        <v>280</v>
      </c>
      <c r="G30" s="2" t="s">
        <v>282</v>
      </c>
      <c r="H30" s="2" t="s">
        <v>283</v>
      </c>
      <c r="I30" s="2" t="s">
        <v>285</v>
      </c>
      <c r="J30" s="2" t="s">
        <v>20</v>
      </c>
      <c r="K30" s="2" t="s">
        <v>42</v>
      </c>
      <c r="L30" s="2" t="s">
        <v>22</v>
      </c>
      <c r="M30" s="2" t="s">
        <v>92</v>
      </c>
    </row>
    <row r="31">
      <c r="A31" s="3">
        <v>2.0</v>
      </c>
      <c r="B31" s="3">
        <v>3.0</v>
      </c>
      <c r="C31" s="2" t="s">
        <v>13</v>
      </c>
      <c r="D31" s="2" t="s">
        <v>291</v>
      </c>
      <c r="E31" s="2" t="s">
        <v>15</v>
      </c>
      <c r="F31" s="2" t="s">
        <v>295</v>
      </c>
      <c r="G31" s="2" t="s">
        <v>297</v>
      </c>
      <c r="H31" s="2" t="s">
        <v>298</v>
      </c>
      <c r="I31" s="2" t="s">
        <v>299</v>
      </c>
      <c r="J31" s="2" t="s">
        <v>41</v>
      </c>
      <c r="K31" s="2" t="s">
        <v>33</v>
      </c>
      <c r="L31" s="2" t="s">
        <v>22</v>
      </c>
      <c r="M31" s="2" t="s">
        <v>92</v>
      </c>
    </row>
    <row r="32">
      <c r="A32" s="3">
        <v>2.0</v>
      </c>
      <c r="B32" s="3">
        <v>4.0</v>
      </c>
      <c r="C32" s="2" t="s">
        <v>13</v>
      </c>
      <c r="D32" s="4" t="s">
        <v>306</v>
      </c>
      <c r="E32" s="2" t="s">
        <v>15</v>
      </c>
      <c r="F32" s="2" t="s">
        <v>250</v>
      </c>
      <c r="G32" s="2" t="s">
        <v>312</v>
      </c>
      <c r="H32" s="2" t="s">
        <v>314</v>
      </c>
      <c r="I32" s="2" t="s">
        <v>315</v>
      </c>
      <c r="J32" s="2" t="s">
        <v>41</v>
      </c>
      <c r="K32" s="2" t="s">
        <v>42</v>
      </c>
      <c r="L32" s="2" t="s">
        <v>22</v>
      </c>
      <c r="M32" s="2" t="s">
        <v>92</v>
      </c>
    </row>
    <row r="33">
      <c r="A33" s="3">
        <v>2.0</v>
      </c>
      <c r="B33" s="3">
        <v>5.0</v>
      </c>
      <c r="C33" s="2" t="s">
        <v>13</v>
      </c>
      <c r="D33" s="2" t="s">
        <v>323</v>
      </c>
      <c r="E33" s="2" t="s">
        <v>15</v>
      </c>
      <c r="F33" s="2" t="s">
        <v>324</v>
      </c>
      <c r="G33" s="2" t="s">
        <v>325</v>
      </c>
      <c r="H33" s="2" t="s">
        <v>326</v>
      </c>
      <c r="I33" s="2" t="s">
        <v>327</v>
      </c>
      <c r="J33" s="2" t="s">
        <v>41</v>
      </c>
      <c r="K33" s="2" t="s">
        <v>33</v>
      </c>
      <c r="L33" s="2" t="s">
        <v>22</v>
      </c>
      <c r="M33" s="2" t="s">
        <v>23</v>
      </c>
    </row>
    <row r="34">
      <c r="A34" s="3">
        <v>2.0</v>
      </c>
      <c r="B34" s="3">
        <v>6.0</v>
      </c>
      <c r="C34" s="2" t="s">
        <v>13</v>
      </c>
      <c r="D34" s="2" t="s">
        <v>330</v>
      </c>
      <c r="E34" s="2" t="s">
        <v>117</v>
      </c>
      <c r="F34" s="2" t="s">
        <v>332</v>
      </c>
      <c r="G34" s="2" t="s">
        <v>334</v>
      </c>
      <c r="H34" s="2" t="s">
        <v>335</v>
      </c>
      <c r="I34" s="2" t="s">
        <v>336</v>
      </c>
      <c r="J34" s="2" t="s">
        <v>20</v>
      </c>
      <c r="K34" s="2" t="s">
        <v>21</v>
      </c>
      <c r="L34" s="2" t="s">
        <v>82</v>
      </c>
      <c r="M34" s="2" t="s">
        <v>92</v>
      </c>
    </row>
    <row r="35">
      <c r="A35" s="3">
        <v>2.0</v>
      </c>
      <c r="B35" s="3">
        <v>7.0</v>
      </c>
      <c r="C35" s="2" t="s">
        <v>13</v>
      </c>
      <c r="D35" s="2" t="s">
        <v>341</v>
      </c>
      <c r="E35" s="2" t="s">
        <v>86</v>
      </c>
      <c r="F35" s="2" t="s">
        <v>343</v>
      </c>
      <c r="G35" s="2" t="s">
        <v>344</v>
      </c>
      <c r="H35" s="2" t="s">
        <v>345</v>
      </c>
      <c r="I35" s="2" t="s">
        <v>346</v>
      </c>
      <c r="J35" s="2" t="s">
        <v>26</v>
      </c>
      <c r="K35" s="2" t="s">
        <v>81</v>
      </c>
      <c r="L35" s="2" t="s">
        <v>82</v>
      </c>
      <c r="M35" s="2" t="s">
        <v>43</v>
      </c>
    </row>
    <row r="36">
      <c r="A36" s="3">
        <v>2.0</v>
      </c>
      <c r="B36" s="3">
        <v>8.0</v>
      </c>
      <c r="C36" s="2" t="s">
        <v>13</v>
      </c>
      <c r="D36" s="2" t="s">
        <v>352</v>
      </c>
      <c r="E36" s="2" t="s">
        <v>353</v>
      </c>
      <c r="F36" s="2" t="s">
        <v>355</v>
      </c>
      <c r="G36" s="2" t="s">
        <v>357</v>
      </c>
      <c r="H36" s="2" t="s">
        <v>360</v>
      </c>
      <c r="I36" s="2" t="s">
        <v>362</v>
      </c>
      <c r="J36" s="2" t="s">
        <v>41</v>
      </c>
      <c r="K36" s="2" t="s">
        <v>21</v>
      </c>
      <c r="L36" s="2" t="s">
        <v>363</v>
      </c>
      <c r="M36" s="2" t="s">
        <v>43</v>
      </c>
    </row>
    <row r="37">
      <c r="A37" s="3">
        <v>2.0</v>
      </c>
      <c r="B37" s="3">
        <v>9.0</v>
      </c>
      <c r="C37" s="2" t="s">
        <v>13</v>
      </c>
      <c r="D37" s="2" t="s">
        <v>368</v>
      </c>
      <c r="E37" s="2" t="s">
        <v>370</v>
      </c>
      <c r="F37" s="2" t="s">
        <v>371</v>
      </c>
      <c r="G37" s="2" t="s">
        <v>372</v>
      </c>
      <c r="H37" s="2" t="s">
        <v>373</v>
      </c>
      <c r="I37" s="2" t="s">
        <v>374</v>
      </c>
      <c r="J37" s="2" t="s">
        <v>20</v>
      </c>
      <c r="K37" s="2" t="s">
        <v>21</v>
      </c>
      <c r="L37" s="2" t="s">
        <v>112</v>
      </c>
      <c r="M37" s="2" t="s">
        <v>92</v>
      </c>
    </row>
    <row r="38">
      <c r="A38" s="3">
        <v>2.0</v>
      </c>
      <c r="B38" s="3">
        <v>10.0</v>
      </c>
      <c r="C38" s="2" t="s">
        <v>316</v>
      </c>
      <c r="D38" s="2" t="s">
        <v>380</v>
      </c>
      <c r="E38" s="2" t="s">
        <v>381</v>
      </c>
      <c r="F38" s="2" t="s">
        <v>383</v>
      </c>
      <c r="G38" s="2" t="s">
        <v>385</v>
      </c>
      <c r="H38" s="2" t="s">
        <v>389</v>
      </c>
      <c r="I38" s="2" t="s">
        <v>391</v>
      </c>
      <c r="J38" s="2" t="s">
        <v>20</v>
      </c>
      <c r="K38" s="2" t="s">
        <v>33</v>
      </c>
      <c r="L38" s="2" t="s">
        <v>136</v>
      </c>
      <c r="M38" s="2" t="s">
        <v>23</v>
      </c>
    </row>
    <row r="39">
      <c r="A39" s="3">
        <v>2.0</v>
      </c>
      <c r="B39" s="3">
        <v>11.0</v>
      </c>
      <c r="C39" s="2" t="s">
        <v>13</v>
      </c>
      <c r="D39" s="2" t="s">
        <v>394</v>
      </c>
      <c r="E39" s="2" t="s">
        <v>397</v>
      </c>
      <c r="F39" s="2" t="s">
        <v>399</v>
      </c>
      <c r="G39" s="2" t="s">
        <v>401</v>
      </c>
      <c r="H39" s="2" t="s">
        <v>402</v>
      </c>
      <c r="I39" s="2" t="s">
        <v>403</v>
      </c>
      <c r="J39" s="2" t="s">
        <v>41</v>
      </c>
      <c r="K39" s="2" t="s">
        <v>33</v>
      </c>
      <c r="L39" s="2" t="s">
        <v>136</v>
      </c>
      <c r="M39" s="2" t="s">
        <v>43</v>
      </c>
    </row>
    <row r="40">
      <c r="A40" s="3">
        <v>2.0</v>
      </c>
      <c r="B40" s="3">
        <v>12.0</v>
      </c>
      <c r="C40" s="2" t="s">
        <v>13</v>
      </c>
      <c r="D40" s="2" t="s">
        <v>409</v>
      </c>
      <c r="E40" s="2" t="s">
        <v>410</v>
      </c>
      <c r="F40" s="2" t="s">
        <v>411</v>
      </c>
      <c r="G40" s="2" t="s">
        <v>412</v>
      </c>
      <c r="H40" s="2" t="s">
        <v>413</v>
      </c>
      <c r="I40" s="2" t="s">
        <v>415</v>
      </c>
      <c r="J40" s="2" t="s">
        <v>26</v>
      </c>
      <c r="K40" s="2" t="s">
        <v>33</v>
      </c>
      <c r="L40" s="2" t="s">
        <v>136</v>
      </c>
      <c r="M40" s="2" t="s">
        <v>92</v>
      </c>
    </row>
    <row r="41">
      <c r="A41" s="3">
        <v>2.0</v>
      </c>
      <c r="B41" s="3">
        <v>13.0</v>
      </c>
      <c r="C41" s="2" t="s">
        <v>13</v>
      </c>
      <c r="D41" s="4" t="s">
        <v>425</v>
      </c>
      <c r="E41" s="2" t="s">
        <v>426</v>
      </c>
      <c r="F41" s="2" t="s">
        <v>427</v>
      </c>
      <c r="G41" s="2" t="s">
        <v>428</v>
      </c>
      <c r="H41" s="2" t="s">
        <v>429</v>
      </c>
      <c r="I41" s="2" t="s">
        <v>430</v>
      </c>
      <c r="J41" s="2" t="s">
        <v>26</v>
      </c>
      <c r="K41" s="2" t="s">
        <v>33</v>
      </c>
      <c r="L41" s="2" t="s">
        <v>136</v>
      </c>
      <c r="M41" s="2" t="s">
        <v>92</v>
      </c>
    </row>
    <row r="42">
      <c r="A42" s="3">
        <v>2.0</v>
      </c>
      <c r="B42" s="3">
        <v>14.0</v>
      </c>
      <c r="C42" s="2" t="s">
        <v>13</v>
      </c>
      <c r="D42" s="2" t="s">
        <v>437</v>
      </c>
      <c r="E42" s="2" t="s">
        <v>438</v>
      </c>
      <c r="F42" s="2" t="s">
        <v>440</v>
      </c>
      <c r="G42" s="2" t="s">
        <v>441</v>
      </c>
      <c r="H42" s="2" t="s">
        <v>442</v>
      </c>
      <c r="I42" s="2" t="s">
        <v>443</v>
      </c>
      <c r="J42" s="2" t="s">
        <v>26</v>
      </c>
      <c r="K42" s="2" t="s">
        <v>33</v>
      </c>
      <c r="L42" s="2" t="s">
        <v>136</v>
      </c>
      <c r="M42" s="2" t="s">
        <v>92</v>
      </c>
    </row>
    <row r="43">
      <c r="A43" s="3">
        <v>2.0</v>
      </c>
      <c r="B43" s="3">
        <v>15.0</v>
      </c>
      <c r="C43" s="2" t="s">
        <v>13</v>
      </c>
      <c r="D43" s="2" t="s">
        <v>450</v>
      </c>
      <c r="E43" s="2" t="s">
        <v>161</v>
      </c>
      <c r="F43" s="2" t="s">
        <v>451</v>
      </c>
      <c r="G43" s="2" t="s">
        <v>452</v>
      </c>
      <c r="H43" s="2" t="s">
        <v>453</v>
      </c>
      <c r="I43" s="2" t="s">
        <v>454</v>
      </c>
      <c r="J43" s="2" t="s">
        <v>37</v>
      </c>
      <c r="K43" s="2" t="s">
        <v>21</v>
      </c>
      <c r="L43" s="2" t="s">
        <v>166</v>
      </c>
      <c r="M43" s="2" t="s">
        <v>23</v>
      </c>
    </row>
    <row r="44">
      <c r="A44" s="3">
        <v>2.0</v>
      </c>
      <c r="B44" s="3">
        <v>16.0</v>
      </c>
      <c r="C44" s="2" t="s">
        <v>13</v>
      </c>
      <c r="D44" s="2" t="s">
        <v>461</v>
      </c>
      <c r="E44" s="2" t="s">
        <v>161</v>
      </c>
      <c r="F44" s="2" t="s">
        <v>463</v>
      </c>
      <c r="G44" s="2" t="s">
        <v>465</v>
      </c>
      <c r="H44" s="2" t="s">
        <v>466</v>
      </c>
      <c r="I44" s="2" t="s">
        <v>469</v>
      </c>
      <c r="J44" s="2" t="s">
        <v>26</v>
      </c>
      <c r="K44" s="2" t="s">
        <v>33</v>
      </c>
      <c r="L44" s="2" t="s">
        <v>166</v>
      </c>
      <c r="M44" s="2" t="s">
        <v>92</v>
      </c>
    </row>
    <row r="45">
      <c r="A45" s="3">
        <v>2.0</v>
      </c>
      <c r="B45" s="3">
        <v>17.0</v>
      </c>
      <c r="C45" s="2" t="s">
        <v>13</v>
      </c>
      <c r="D45" s="4" t="s">
        <v>477</v>
      </c>
      <c r="E45" s="2" t="s">
        <v>161</v>
      </c>
      <c r="F45" s="2" t="s">
        <v>484</v>
      </c>
      <c r="G45" s="2" t="s">
        <v>487</v>
      </c>
      <c r="H45" s="2" t="s">
        <v>489</v>
      </c>
      <c r="I45" s="2" t="s">
        <v>490</v>
      </c>
      <c r="J45" s="2" t="s">
        <v>37</v>
      </c>
      <c r="K45" s="2" t="s">
        <v>33</v>
      </c>
      <c r="L45" s="2" t="s">
        <v>166</v>
      </c>
      <c r="M45" s="2" t="s">
        <v>92</v>
      </c>
    </row>
    <row r="46">
      <c r="A46" s="3">
        <v>2.0</v>
      </c>
      <c r="B46" s="3">
        <v>18.0</v>
      </c>
      <c r="C46" s="2" t="s">
        <v>13</v>
      </c>
      <c r="D46" s="2" t="s">
        <v>497</v>
      </c>
      <c r="E46" s="2" t="s">
        <v>168</v>
      </c>
      <c r="F46" s="2" t="s">
        <v>498</v>
      </c>
      <c r="G46" s="2" t="s">
        <v>499</v>
      </c>
      <c r="H46" s="2" t="s">
        <v>500</v>
      </c>
      <c r="I46" s="2" t="s">
        <v>501</v>
      </c>
      <c r="J46" s="2" t="s">
        <v>26</v>
      </c>
      <c r="K46" s="2" t="s">
        <v>21</v>
      </c>
      <c r="L46" s="2" t="s">
        <v>173</v>
      </c>
      <c r="M46" s="2" t="s">
        <v>23</v>
      </c>
    </row>
    <row r="47">
      <c r="A47" s="3">
        <v>2.0</v>
      </c>
      <c r="B47" s="3">
        <v>19.0</v>
      </c>
      <c r="C47" s="2" t="s">
        <v>13</v>
      </c>
      <c r="D47" s="2" t="s">
        <v>508</v>
      </c>
      <c r="E47" s="2" t="s">
        <v>168</v>
      </c>
      <c r="F47" s="2" t="s">
        <v>510</v>
      </c>
      <c r="G47" s="2" t="s">
        <v>511</v>
      </c>
      <c r="H47" s="2" t="s">
        <v>512</v>
      </c>
      <c r="I47" s="2" t="s">
        <v>513</v>
      </c>
      <c r="J47" s="2" t="s">
        <v>26</v>
      </c>
      <c r="K47" s="2" t="s">
        <v>33</v>
      </c>
      <c r="L47" s="2" t="s">
        <v>184</v>
      </c>
      <c r="M47" s="2" t="s">
        <v>23</v>
      </c>
    </row>
    <row r="48">
      <c r="A48" s="3">
        <v>2.0</v>
      </c>
      <c r="B48" s="3">
        <v>20.0</v>
      </c>
      <c r="C48" s="2" t="s">
        <v>13</v>
      </c>
      <c r="D48" s="4" t="s">
        <v>517</v>
      </c>
      <c r="E48" s="2" t="s">
        <v>168</v>
      </c>
      <c r="F48" s="2" t="s">
        <v>520</v>
      </c>
      <c r="G48" s="2" t="s">
        <v>521</v>
      </c>
      <c r="H48" s="2" t="s">
        <v>522</v>
      </c>
      <c r="I48" s="2" t="s">
        <v>523</v>
      </c>
      <c r="J48" s="2" t="s">
        <v>26</v>
      </c>
      <c r="K48" s="2" t="s">
        <v>21</v>
      </c>
      <c r="L48" s="2" t="s">
        <v>184</v>
      </c>
      <c r="M48" s="2" t="s">
        <v>23</v>
      </c>
    </row>
    <row r="49">
      <c r="A49" s="3">
        <v>2.0</v>
      </c>
      <c r="B49" s="3">
        <v>21.0</v>
      </c>
      <c r="C49" s="2" t="s">
        <v>13</v>
      </c>
      <c r="D49" s="4" t="s">
        <v>527</v>
      </c>
      <c r="E49" s="2" t="s">
        <v>168</v>
      </c>
      <c r="F49" s="2" t="s">
        <v>530</v>
      </c>
      <c r="G49" s="2" t="s">
        <v>533</v>
      </c>
      <c r="H49" s="2" t="s">
        <v>534</v>
      </c>
      <c r="I49" s="2" t="s">
        <v>535</v>
      </c>
      <c r="J49" s="2" t="s">
        <v>26</v>
      </c>
      <c r="K49" s="2" t="s">
        <v>81</v>
      </c>
      <c r="L49" s="2" t="s">
        <v>173</v>
      </c>
      <c r="M49" s="2" t="s">
        <v>92</v>
      </c>
    </row>
    <row r="50">
      <c r="A50" s="3">
        <v>2.0</v>
      </c>
      <c r="B50" s="3">
        <v>22.0</v>
      </c>
      <c r="C50" s="2" t="s">
        <v>13</v>
      </c>
      <c r="D50" s="2" t="s">
        <v>538</v>
      </c>
      <c r="E50" s="2" t="s">
        <v>168</v>
      </c>
      <c r="F50" s="2" t="s">
        <v>541</v>
      </c>
      <c r="G50" s="2" t="s">
        <v>543</v>
      </c>
      <c r="H50" s="2" t="s">
        <v>544</v>
      </c>
      <c r="I50" s="2" t="s">
        <v>546</v>
      </c>
      <c r="J50" s="2" t="s">
        <v>37</v>
      </c>
      <c r="K50" s="2" t="s">
        <v>33</v>
      </c>
      <c r="L50" s="2" t="s">
        <v>173</v>
      </c>
      <c r="M50" s="2" t="s">
        <v>23</v>
      </c>
    </row>
    <row r="51">
      <c r="A51" s="3">
        <v>2.0</v>
      </c>
      <c r="B51" s="3">
        <v>23.0</v>
      </c>
      <c r="C51" s="2" t="s">
        <v>13</v>
      </c>
      <c r="D51" s="2" t="s">
        <v>547</v>
      </c>
      <c r="E51" s="2" t="s">
        <v>168</v>
      </c>
      <c r="F51" s="2" t="s">
        <v>550</v>
      </c>
      <c r="G51" s="2">
        <v>1648.0</v>
      </c>
      <c r="H51" s="2" t="s">
        <v>553</v>
      </c>
      <c r="I51" s="2" t="s">
        <v>555</v>
      </c>
      <c r="J51" s="2" t="s">
        <v>26</v>
      </c>
      <c r="K51" s="2" t="s">
        <v>21</v>
      </c>
      <c r="L51" s="2" t="s">
        <v>184</v>
      </c>
      <c r="M51" s="2" t="s">
        <v>43</v>
      </c>
    </row>
    <row r="52">
      <c r="A52" s="3">
        <v>2.0</v>
      </c>
      <c r="B52" s="3">
        <v>24.0</v>
      </c>
      <c r="C52" s="2" t="s">
        <v>13</v>
      </c>
      <c r="D52" s="2" t="s">
        <v>559</v>
      </c>
      <c r="E52" s="2" t="s">
        <v>196</v>
      </c>
      <c r="F52" s="2" t="s">
        <v>561</v>
      </c>
      <c r="G52" s="2" t="s">
        <v>562</v>
      </c>
      <c r="H52" s="2" t="s">
        <v>564</v>
      </c>
      <c r="I52" s="2" t="s">
        <v>566</v>
      </c>
      <c r="J52" s="2" t="s">
        <v>26</v>
      </c>
      <c r="K52" s="2" t="s">
        <v>33</v>
      </c>
      <c r="L52" s="2" t="s">
        <v>201</v>
      </c>
      <c r="M52" s="2" t="s">
        <v>23</v>
      </c>
    </row>
    <row r="53">
      <c r="A53" s="3">
        <v>2.0</v>
      </c>
      <c r="B53" s="3">
        <v>25.0</v>
      </c>
      <c r="C53" s="2" t="s">
        <v>13</v>
      </c>
      <c r="D53" s="2" t="s">
        <v>570</v>
      </c>
      <c r="E53" s="2" t="s">
        <v>196</v>
      </c>
      <c r="F53" s="2" t="s">
        <v>564</v>
      </c>
      <c r="G53" s="2" t="s">
        <v>571</v>
      </c>
      <c r="H53" s="2" t="s">
        <v>573</v>
      </c>
      <c r="I53" s="2" t="s">
        <v>198</v>
      </c>
      <c r="J53" s="2" t="s">
        <v>41</v>
      </c>
      <c r="K53" s="2" t="s">
        <v>42</v>
      </c>
      <c r="L53" s="2" t="s">
        <v>201</v>
      </c>
      <c r="M53" s="2" t="s">
        <v>43</v>
      </c>
    </row>
    <row r="54">
      <c r="A54" s="3">
        <v>2.0</v>
      </c>
      <c r="B54" s="3">
        <v>26.0</v>
      </c>
      <c r="C54" s="2" t="s">
        <v>13</v>
      </c>
      <c r="D54" s="2" t="s">
        <v>575</v>
      </c>
      <c r="E54" s="2" t="s">
        <v>196</v>
      </c>
      <c r="F54" s="2" t="s">
        <v>577</v>
      </c>
      <c r="G54" s="2" t="s">
        <v>578</v>
      </c>
      <c r="H54" s="2" t="s">
        <v>580</v>
      </c>
      <c r="I54" s="2" t="s">
        <v>564</v>
      </c>
      <c r="J54" s="2" t="s">
        <v>41</v>
      </c>
      <c r="K54" s="2" t="s">
        <v>33</v>
      </c>
      <c r="L54" s="2" t="s">
        <v>201</v>
      </c>
      <c r="M54" s="2" t="s">
        <v>92</v>
      </c>
    </row>
    <row r="55">
      <c r="A55" s="3">
        <v>2.0</v>
      </c>
      <c r="B55" s="3">
        <v>27.0</v>
      </c>
      <c r="C55" s="2" t="s">
        <v>13</v>
      </c>
      <c r="D55" s="4" t="s">
        <v>589</v>
      </c>
      <c r="E55" s="2" t="s">
        <v>196</v>
      </c>
      <c r="F55" s="2" t="s">
        <v>592</v>
      </c>
      <c r="G55" s="2" t="s">
        <v>594</v>
      </c>
      <c r="H55" s="2" t="s">
        <v>595</v>
      </c>
      <c r="I55" s="2" t="s">
        <v>596</v>
      </c>
      <c r="J55" s="2" t="s">
        <v>41</v>
      </c>
      <c r="K55" s="2" t="s">
        <v>21</v>
      </c>
      <c r="L55" s="2" t="s">
        <v>201</v>
      </c>
      <c r="M55" s="2" t="s">
        <v>43</v>
      </c>
    </row>
    <row r="56">
      <c r="A56" s="3">
        <v>1.0</v>
      </c>
      <c r="B56" s="3">
        <v>1.0</v>
      </c>
    </row>
    <row r="57">
      <c r="A57" s="3">
        <v>1.0</v>
      </c>
      <c r="B57" s="3">
        <v>2.0</v>
      </c>
    </row>
    <row r="58">
      <c r="A58" s="3">
        <v>1.0</v>
      </c>
      <c r="B58" s="3">
        <v>3.0</v>
      </c>
    </row>
    <row r="59">
      <c r="A59" s="3">
        <v>1.0</v>
      </c>
      <c r="B59" s="3">
        <v>4.0</v>
      </c>
    </row>
    <row r="60">
      <c r="A60" s="3">
        <v>1.0</v>
      </c>
      <c r="B60" s="3">
        <v>5.0</v>
      </c>
    </row>
    <row r="61">
      <c r="A61" s="3">
        <v>1.0</v>
      </c>
      <c r="B61" s="3">
        <v>6.0</v>
      </c>
    </row>
    <row r="62">
      <c r="A62" s="3">
        <v>1.0</v>
      </c>
      <c r="B62" s="3">
        <v>7.0</v>
      </c>
    </row>
    <row r="63">
      <c r="A63" s="3">
        <v>1.0</v>
      </c>
      <c r="B63" s="3">
        <v>8.0</v>
      </c>
    </row>
    <row r="64">
      <c r="A64" s="3">
        <v>1.0</v>
      </c>
      <c r="B64" s="3">
        <v>9.0</v>
      </c>
    </row>
    <row r="65">
      <c r="A65" s="3">
        <v>1.0</v>
      </c>
      <c r="B65" s="3">
        <v>10.0</v>
      </c>
    </row>
    <row r="66">
      <c r="A66" s="3">
        <v>1.0</v>
      </c>
      <c r="B66" s="3">
        <v>11.0</v>
      </c>
    </row>
    <row r="67">
      <c r="A67" s="3">
        <v>1.0</v>
      </c>
      <c r="B67" s="3">
        <v>12.0</v>
      </c>
    </row>
    <row r="68">
      <c r="A68" s="3">
        <v>1.0</v>
      </c>
      <c r="B68" s="3">
        <v>13.0</v>
      </c>
    </row>
    <row r="69">
      <c r="A69" s="3">
        <v>1.0</v>
      </c>
      <c r="B69" s="3">
        <v>14.0</v>
      </c>
    </row>
    <row r="70">
      <c r="A70" s="3">
        <v>1.0</v>
      </c>
      <c r="B70" s="3">
        <v>15.0</v>
      </c>
    </row>
    <row r="71">
      <c r="A71" s="3">
        <v>1.0</v>
      </c>
      <c r="B71" s="3">
        <v>16.0</v>
      </c>
    </row>
    <row r="72">
      <c r="A72" s="3">
        <v>1.0</v>
      </c>
      <c r="B72" s="3">
        <v>17.0</v>
      </c>
    </row>
    <row r="73">
      <c r="A73" s="3">
        <v>1.0</v>
      </c>
      <c r="B73" s="3">
        <v>18.0</v>
      </c>
    </row>
    <row r="74">
      <c r="A74" s="3">
        <v>1.0</v>
      </c>
      <c r="B74" s="3">
        <v>19.0</v>
      </c>
    </row>
    <row r="75">
      <c r="A75" s="3">
        <v>1.0</v>
      </c>
      <c r="B75" s="3">
        <v>20.0</v>
      </c>
    </row>
    <row r="76">
      <c r="A76" s="3">
        <v>1.0</v>
      </c>
      <c r="B76" s="3">
        <v>21.0</v>
      </c>
    </row>
    <row r="77">
      <c r="A77" s="3">
        <v>1.0</v>
      </c>
      <c r="B77" s="3">
        <v>22.0</v>
      </c>
    </row>
    <row r="78">
      <c r="A78" s="3">
        <v>1.0</v>
      </c>
      <c r="B78" s="3">
        <v>23.0</v>
      </c>
    </row>
    <row r="79">
      <c r="A79" s="3">
        <v>1.0</v>
      </c>
      <c r="B79" s="3">
        <v>24.0</v>
      </c>
    </row>
    <row r="80">
      <c r="A80" s="3">
        <v>1.0</v>
      </c>
      <c r="B80" s="3">
        <v>25.0</v>
      </c>
    </row>
    <row r="81">
      <c r="A81" s="3">
        <v>1.0</v>
      </c>
      <c r="B81" s="3">
        <v>26.0</v>
      </c>
    </row>
    <row r="82">
      <c r="A82" s="3">
        <v>1.0</v>
      </c>
      <c r="B82" s="3">
        <v>27.0</v>
      </c>
    </row>
    <row r="83">
      <c r="A83" s="3">
        <v>2.0</v>
      </c>
      <c r="B83" s="3">
        <v>1.0</v>
      </c>
    </row>
    <row r="84">
      <c r="A84" s="3">
        <v>2.0</v>
      </c>
      <c r="B84" s="3">
        <v>2.0</v>
      </c>
    </row>
    <row r="85">
      <c r="A85" s="3">
        <v>2.0</v>
      </c>
      <c r="B85" s="3">
        <v>3.0</v>
      </c>
    </row>
    <row r="86">
      <c r="A86" s="3">
        <v>2.0</v>
      </c>
      <c r="B86" s="3">
        <v>4.0</v>
      </c>
    </row>
    <row r="87">
      <c r="A87" s="3">
        <v>2.0</v>
      </c>
      <c r="B87" s="3">
        <v>5.0</v>
      </c>
    </row>
    <row r="88">
      <c r="A88" s="3">
        <v>2.0</v>
      </c>
      <c r="B88" s="3">
        <v>6.0</v>
      </c>
    </row>
    <row r="89">
      <c r="A89" s="3">
        <v>2.0</v>
      </c>
      <c r="B89" s="3">
        <v>7.0</v>
      </c>
    </row>
    <row r="90">
      <c r="A90" s="3">
        <v>2.0</v>
      </c>
      <c r="B90" s="3">
        <v>8.0</v>
      </c>
    </row>
    <row r="91">
      <c r="A91" s="3">
        <v>2.0</v>
      </c>
      <c r="B91" s="3">
        <v>9.0</v>
      </c>
    </row>
    <row r="92">
      <c r="A92" s="3">
        <v>2.0</v>
      </c>
      <c r="B92" s="3">
        <v>10.0</v>
      </c>
    </row>
    <row r="93">
      <c r="A93" s="3">
        <v>2.0</v>
      </c>
      <c r="B93" s="3">
        <v>11.0</v>
      </c>
    </row>
    <row r="94">
      <c r="A94" s="3">
        <v>2.0</v>
      </c>
      <c r="B94" s="3">
        <v>12.0</v>
      </c>
    </row>
    <row r="95">
      <c r="A95" s="3">
        <v>2.0</v>
      </c>
      <c r="B95" s="3">
        <v>13.0</v>
      </c>
    </row>
    <row r="96">
      <c r="A96" s="3">
        <v>2.0</v>
      </c>
      <c r="B96" s="3">
        <v>14.0</v>
      </c>
    </row>
    <row r="97">
      <c r="A97" s="3">
        <v>2.0</v>
      </c>
      <c r="B97" s="3">
        <v>15.0</v>
      </c>
    </row>
    <row r="98">
      <c r="A98" s="3">
        <v>2.0</v>
      </c>
      <c r="B98" s="3">
        <v>16.0</v>
      </c>
    </row>
    <row r="99">
      <c r="A99" s="3">
        <v>2.0</v>
      </c>
      <c r="B99" s="3">
        <v>17.0</v>
      </c>
    </row>
    <row r="100">
      <c r="A100" s="3">
        <v>2.0</v>
      </c>
      <c r="B100" s="3">
        <v>18.0</v>
      </c>
    </row>
    <row r="101">
      <c r="A101" s="3">
        <v>2.0</v>
      </c>
      <c r="B101" s="3">
        <v>19.0</v>
      </c>
    </row>
    <row r="102">
      <c r="A102" s="3">
        <v>2.0</v>
      </c>
      <c r="B102" s="3">
        <v>20.0</v>
      </c>
    </row>
    <row r="103">
      <c r="A103" s="3">
        <v>2.0</v>
      </c>
      <c r="B103" s="3">
        <v>21.0</v>
      </c>
    </row>
    <row r="104">
      <c r="A104" s="3">
        <v>2.0</v>
      </c>
      <c r="B104" s="3">
        <v>22.0</v>
      </c>
    </row>
    <row r="105">
      <c r="A105" s="3">
        <v>2.0</v>
      </c>
      <c r="B105" s="3">
        <v>23.0</v>
      </c>
    </row>
    <row r="106">
      <c r="A106" s="3">
        <v>2.0</v>
      </c>
      <c r="B106" s="3">
        <v>24.0</v>
      </c>
    </row>
    <row r="107">
      <c r="A107" s="3">
        <v>2.0</v>
      </c>
      <c r="B107" s="3">
        <v>25.0</v>
      </c>
    </row>
    <row r="108">
      <c r="A108" s="3">
        <v>2.0</v>
      </c>
      <c r="B108" s="3">
        <v>26.0</v>
      </c>
    </row>
    <row r="109">
      <c r="A109" s="3">
        <v>2.0</v>
      </c>
      <c r="B109" s="3">
        <v>27.0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c r="C1" s="2" t="s">
        <v>2</v>
      </c>
      <c r="D1" s="2" t="s">
        <v>3</v>
      </c>
      <c r="E1" s="2" t="s">
        <v>4</v>
      </c>
      <c r="F1" s="2" t="s">
        <v>5</v>
      </c>
      <c r="G1" s="2" t="s">
        <v>6</v>
      </c>
      <c r="H1" s="2" t="s">
        <v>7</v>
      </c>
      <c r="I1" s="2" t="s">
        <v>8</v>
      </c>
      <c r="J1" s="2" t="s">
        <v>9</v>
      </c>
      <c r="K1" s="2" t="s">
        <v>10</v>
      </c>
      <c r="L1" s="2" t="s">
        <v>11</v>
      </c>
      <c r="M1" s="2" t="s">
        <v>12</v>
      </c>
    </row>
    <row r="2">
      <c r="A2" s="3">
        <v>1.0</v>
      </c>
      <c r="B2" s="3">
        <v>1.0</v>
      </c>
      <c r="C2" s="2" t="s">
        <v>13</v>
      </c>
      <c r="D2" s="2" t="s">
        <v>14</v>
      </c>
      <c r="E2" s="2" t="s">
        <v>15</v>
      </c>
      <c r="F2" s="2" t="s">
        <v>16</v>
      </c>
      <c r="G2" s="2" t="s">
        <v>17</v>
      </c>
      <c r="H2" s="2" t="s">
        <v>18</v>
      </c>
      <c r="I2" s="2" t="s">
        <v>19</v>
      </c>
      <c r="J2" s="2" t="s">
        <v>20</v>
      </c>
      <c r="K2" s="2" t="s">
        <v>21</v>
      </c>
      <c r="L2" s="2" t="s">
        <v>22</v>
      </c>
      <c r="M2" s="2" t="s">
        <v>23</v>
      </c>
      <c r="N2" s="2" t="s">
        <v>24</v>
      </c>
      <c r="O2" s="2" t="s">
        <v>25</v>
      </c>
      <c r="P2" s="2" t="s">
        <v>26</v>
      </c>
    </row>
    <row r="3">
      <c r="A3" s="3">
        <v>1.0</v>
      </c>
      <c r="B3" s="3">
        <v>2.0</v>
      </c>
      <c r="C3" s="2" t="s">
        <v>13</v>
      </c>
      <c r="D3" s="2" t="s">
        <v>27</v>
      </c>
      <c r="E3" s="2" t="s">
        <v>15</v>
      </c>
      <c r="F3" s="2" t="s">
        <v>28</v>
      </c>
      <c r="G3" s="2" t="s">
        <v>29</v>
      </c>
      <c r="H3" s="2" t="s">
        <v>30</v>
      </c>
      <c r="I3" s="2" t="s">
        <v>32</v>
      </c>
      <c r="J3" s="2" t="s">
        <v>26</v>
      </c>
      <c r="K3" s="2" t="s">
        <v>33</v>
      </c>
      <c r="L3" s="2" t="s">
        <v>22</v>
      </c>
      <c r="M3" s="2" t="s">
        <v>23</v>
      </c>
      <c r="N3" s="2" t="s">
        <v>34</v>
      </c>
      <c r="O3" s="2" t="s">
        <v>36</v>
      </c>
      <c r="P3" s="2" t="s">
        <v>37</v>
      </c>
    </row>
    <row r="4">
      <c r="A4" s="3">
        <v>1.0</v>
      </c>
      <c r="B4" s="3">
        <v>3.0</v>
      </c>
      <c r="C4" s="2" t="s">
        <v>13</v>
      </c>
      <c r="D4" s="4" t="s">
        <v>46</v>
      </c>
      <c r="E4" s="2" t="s">
        <v>15</v>
      </c>
      <c r="F4" s="2" t="s">
        <v>50</v>
      </c>
      <c r="G4" s="2" t="s">
        <v>51</v>
      </c>
      <c r="H4" s="2" t="s">
        <v>52</v>
      </c>
      <c r="I4" s="2" t="s">
        <v>53</v>
      </c>
      <c r="J4" s="2" t="s">
        <v>37</v>
      </c>
      <c r="K4" s="2" t="s">
        <v>42</v>
      </c>
      <c r="L4" s="2" t="s">
        <v>22</v>
      </c>
      <c r="M4" s="2" t="s">
        <v>43</v>
      </c>
      <c r="N4" s="2" t="s">
        <v>55</v>
      </c>
      <c r="O4" s="2" t="s">
        <v>56</v>
      </c>
      <c r="P4" s="2" t="s">
        <v>26</v>
      </c>
    </row>
    <row r="5">
      <c r="A5" s="3">
        <v>1.0</v>
      </c>
      <c r="B5" s="3">
        <v>4.0</v>
      </c>
      <c r="C5" s="2" t="s">
        <v>13</v>
      </c>
      <c r="D5" s="2" t="s">
        <v>61</v>
      </c>
      <c r="E5" s="2" t="s">
        <v>15</v>
      </c>
      <c r="F5" s="2" t="s">
        <v>63</v>
      </c>
      <c r="G5" s="2" t="s">
        <v>64</v>
      </c>
      <c r="H5" s="2" t="s">
        <v>67</v>
      </c>
      <c r="I5" s="2" t="s">
        <v>35</v>
      </c>
      <c r="J5" s="2" t="s">
        <v>37</v>
      </c>
      <c r="K5" s="2" t="s">
        <v>21</v>
      </c>
      <c r="L5" s="2" t="s">
        <v>22</v>
      </c>
      <c r="M5" s="2" t="s">
        <v>23</v>
      </c>
      <c r="N5" s="5" t="s">
        <v>73</v>
      </c>
      <c r="O5" s="2" t="s">
        <v>80</v>
      </c>
      <c r="P5" s="2" t="s">
        <v>26</v>
      </c>
    </row>
    <row r="6">
      <c r="A6" s="3">
        <v>1.0</v>
      </c>
      <c r="B6" s="3">
        <v>5.0</v>
      </c>
      <c r="C6" s="2" t="s">
        <v>13</v>
      </c>
      <c r="D6" s="4" t="s">
        <v>88</v>
      </c>
      <c r="E6" s="2" t="s">
        <v>15</v>
      </c>
      <c r="F6" s="2" t="s">
        <v>38</v>
      </c>
      <c r="G6" s="2" t="s">
        <v>83</v>
      </c>
      <c r="H6" s="2" t="s">
        <v>35</v>
      </c>
      <c r="I6" s="2" t="s">
        <v>85</v>
      </c>
      <c r="J6" s="2" t="s">
        <v>37</v>
      </c>
      <c r="K6" s="2" t="s">
        <v>42</v>
      </c>
      <c r="L6" s="2" t="s">
        <v>22</v>
      </c>
      <c r="M6" s="2" t="s">
        <v>92</v>
      </c>
      <c r="N6" s="2" t="s">
        <v>93</v>
      </c>
      <c r="O6" s="2" t="s">
        <v>95</v>
      </c>
      <c r="P6" s="2" t="s">
        <v>41</v>
      </c>
    </row>
    <row r="7">
      <c r="A7" s="3">
        <v>1.0</v>
      </c>
      <c r="B7" s="3">
        <v>6.0</v>
      </c>
      <c r="C7" s="2" t="s">
        <v>13</v>
      </c>
      <c r="D7" s="4" t="s">
        <v>104</v>
      </c>
      <c r="E7" s="2" t="s">
        <v>75</v>
      </c>
      <c r="F7" s="2" t="s">
        <v>100</v>
      </c>
      <c r="G7" s="2" t="s">
        <v>102</v>
      </c>
      <c r="H7" s="2" t="s">
        <v>103</v>
      </c>
      <c r="I7" s="2" t="s">
        <v>105</v>
      </c>
      <c r="J7" s="2" t="s">
        <v>37</v>
      </c>
      <c r="K7" s="2" t="s">
        <v>81</v>
      </c>
      <c r="L7" s="2" t="s">
        <v>82</v>
      </c>
      <c r="M7" s="2" t="s">
        <v>23</v>
      </c>
      <c r="N7" s="4" t="s">
        <v>113</v>
      </c>
      <c r="O7" s="2" t="s">
        <v>114</v>
      </c>
      <c r="P7" s="2" t="s">
        <v>26</v>
      </c>
    </row>
    <row r="8">
      <c r="A8" s="3">
        <v>1.0</v>
      </c>
      <c r="B8" s="3">
        <v>7.0</v>
      </c>
      <c r="C8" s="2" t="s">
        <v>13</v>
      </c>
      <c r="D8" s="2" t="s">
        <v>116</v>
      </c>
      <c r="E8" s="2" t="s">
        <v>117</v>
      </c>
      <c r="F8" s="2" t="s">
        <v>119</v>
      </c>
      <c r="G8" s="2" t="s">
        <v>121</v>
      </c>
      <c r="H8" s="2" t="s">
        <v>123</v>
      </c>
      <c r="I8" s="2" t="s">
        <v>125</v>
      </c>
      <c r="J8" s="2" t="s">
        <v>41</v>
      </c>
      <c r="K8" s="2" t="s">
        <v>21</v>
      </c>
      <c r="L8" s="2" t="s">
        <v>82</v>
      </c>
      <c r="M8" s="2" t="s">
        <v>92</v>
      </c>
      <c r="N8" s="2" t="s">
        <v>128</v>
      </c>
      <c r="O8" s="2" t="s">
        <v>129</v>
      </c>
      <c r="P8" s="2" t="s">
        <v>41</v>
      </c>
    </row>
    <row r="9">
      <c r="A9" s="3">
        <v>1.0</v>
      </c>
      <c r="B9" s="3">
        <v>8.0</v>
      </c>
    </row>
    <row r="10">
      <c r="A10" s="3">
        <v>1.0</v>
      </c>
      <c r="B10" s="3">
        <v>9.0</v>
      </c>
    </row>
    <row r="11">
      <c r="A11" s="3">
        <v>1.0</v>
      </c>
      <c r="B11" s="3">
        <v>10.0</v>
      </c>
    </row>
    <row r="12">
      <c r="A12" s="3">
        <v>1.0</v>
      </c>
      <c r="B12" s="3">
        <v>11.0</v>
      </c>
    </row>
    <row r="13">
      <c r="A13" s="3">
        <v>1.0</v>
      </c>
      <c r="B13" s="3">
        <v>12.0</v>
      </c>
    </row>
    <row r="14">
      <c r="A14" s="3">
        <v>1.0</v>
      </c>
      <c r="B14" s="3">
        <v>13.0</v>
      </c>
    </row>
    <row r="15">
      <c r="A15" s="3">
        <v>1.0</v>
      </c>
      <c r="B15" s="3">
        <v>14.0</v>
      </c>
    </row>
    <row r="16">
      <c r="A16" s="3">
        <v>1.0</v>
      </c>
      <c r="B16" s="3">
        <v>15.0</v>
      </c>
    </row>
    <row r="17">
      <c r="A17" s="3">
        <v>1.0</v>
      </c>
      <c r="B17" s="3">
        <v>16.0</v>
      </c>
    </row>
    <row r="18">
      <c r="A18" s="3">
        <v>1.0</v>
      </c>
      <c r="B18" s="3">
        <v>17.0</v>
      </c>
    </row>
    <row r="19">
      <c r="A19" s="3">
        <v>1.0</v>
      </c>
      <c r="B19" s="3">
        <v>18.0</v>
      </c>
    </row>
    <row r="20">
      <c r="A20" s="3">
        <v>1.0</v>
      </c>
      <c r="B20" s="3">
        <v>19.0</v>
      </c>
    </row>
    <row r="21">
      <c r="A21" s="3">
        <v>1.0</v>
      </c>
      <c r="B21" s="3">
        <v>20.0</v>
      </c>
    </row>
    <row r="22">
      <c r="A22" s="3">
        <v>1.0</v>
      </c>
      <c r="B22" s="3">
        <v>21.0</v>
      </c>
    </row>
    <row r="23">
      <c r="A23" s="3">
        <v>1.0</v>
      </c>
      <c r="B23" s="3">
        <v>22.0</v>
      </c>
    </row>
    <row r="24">
      <c r="A24" s="3">
        <v>1.0</v>
      </c>
      <c r="B24" s="3">
        <v>23.0</v>
      </c>
    </row>
    <row r="25">
      <c r="A25" s="3">
        <v>1.0</v>
      </c>
      <c r="B25" s="3">
        <v>24.0</v>
      </c>
    </row>
    <row r="26">
      <c r="A26" s="3">
        <v>1.0</v>
      </c>
      <c r="B26" s="3">
        <v>25.0</v>
      </c>
    </row>
    <row r="27">
      <c r="A27" s="3">
        <v>1.0</v>
      </c>
      <c r="B27" s="3">
        <v>26.0</v>
      </c>
    </row>
    <row r="28">
      <c r="A28" s="3">
        <v>1.0</v>
      </c>
      <c r="B28" s="3">
        <v>27.0</v>
      </c>
    </row>
    <row r="29">
      <c r="A29" s="3">
        <v>2.0</v>
      </c>
      <c r="B29" s="3">
        <v>1.0</v>
      </c>
    </row>
    <row r="30">
      <c r="A30" s="3">
        <v>2.0</v>
      </c>
      <c r="B30" s="3">
        <v>2.0</v>
      </c>
    </row>
    <row r="31">
      <c r="A31" s="3">
        <v>2.0</v>
      </c>
      <c r="B31" s="3">
        <v>3.0</v>
      </c>
    </row>
    <row r="32">
      <c r="A32" s="3">
        <v>2.0</v>
      </c>
      <c r="B32" s="3">
        <v>4.0</v>
      </c>
    </row>
    <row r="33">
      <c r="A33" s="3">
        <v>2.0</v>
      </c>
      <c r="B33" s="3">
        <v>5.0</v>
      </c>
    </row>
    <row r="34">
      <c r="A34" s="3">
        <v>2.0</v>
      </c>
      <c r="B34" s="3">
        <v>6.0</v>
      </c>
    </row>
    <row r="35">
      <c r="A35" s="3">
        <v>2.0</v>
      </c>
      <c r="B35" s="3">
        <v>7.0</v>
      </c>
    </row>
    <row r="36">
      <c r="A36" s="3">
        <v>2.0</v>
      </c>
      <c r="B36" s="3">
        <v>8.0</v>
      </c>
    </row>
    <row r="37">
      <c r="A37" s="3">
        <v>2.0</v>
      </c>
      <c r="B37" s="3">
        <v>9.0</v>
      </c>
    </row>
    <row r="38">
      <c r="A38" s="3">
        <v>2.0</v>
      </c>
      <c r="B38" s="3">
        <v>10.0</v>
      </c>
    </row>
    <row r="39">
      <c r="A39" s="3">
        <v>2.0</v>
      </c>
      <c r="B39" s="3">
        <v>11.0</v>
      </c>
    </row>
    <row r="40">
      <c r="A40" s="3">
        <v>2.0</v>
      </c>
      <c r="B40" s="3">
        <v>12.0</v>
      </c>
    </row>
    <row r="41">
      <c r="A41" s="3">
        <v>2.0</v>
      </c>
      <c r="B41" s="3">
        <v>13.0</v>
      </c>
    </row>
    <row r="42">
      <c r="A42" s="3">
        <v>2.0</v>
      </c>
      <c r="B42" s="3">
        <v>14.0</v>
      </c>
    </row>
    <row r="43">
      <c r="A43" s="3">
        <v>2.0</v>
      </c>
      <c r="B43" s="3">
        <v>15.0</v>
      </c>
    </row>
    <row r="44">
      <c r="A44" s="3">
        <v>2.0</v>
      </c>
      <c r="B44" s="3">
        <v>16.0</v>
      </c>
    </row>
    <row r="45">
      <c r="A45" s="3">
        <v>2.0</v>
      </c>
      <c r="B45" s="3">
        <v>17.0</v>
      </c>
    </row>
    <row r="46">
      <c r="A46" s="3">
        <v>2.0</v>
      </c>
      <c r="B46" s="3">
        <v>18.0</v>
      </c>
    </row>
    <row r="47">
      <c r="A47" s="3">
        <v>2.0</v>
      </c>
      <c r="B47" s="3">
        <v>19.0</v>
      </c>
    </row>
    <row r="48">
      <c r="A48" s="3">
        <v>2.0</v>
      </c>
      <c r="B48" s="3">
        <v>20.0</v>
      </c>
    </row>
    <row r="49">
      <c r="A49" s="3">
        <v>2.0</v>
      </c>
      <c r="B49" s="3">
        <v>21.0</v>
      </c>
    </row>
    <row r="50">
      <c r="A50" s="3">
        <v>2.0</v>
      </c>
      <c r="B50" s="3">
        <v>22.0</v>
      </c>
    </row>
    <row r="51">
      <c r="A51" s="3">
        <v>2.0</v>
      </c>
      <c r="B51" s="3">
        <v>23.0</v>
      </c>
    </row>
    <row r="52">
      <c r="A52" s="3">
        <v>2.0</v>
      </c>
      <c r="B52" s="3">
        <v>24.0</v>
      </c>
    </row>
    <row r="53">
      <c r="A53" s="3">
        <v>2.0</v>
      </c>
      <c r="B53" s="3">
        <v>25.0</v>
      </c>
    </row>
    <row r="54">
      <c r="A54" s="3">
        <v>2.0</v>
      </c>
      <c r="B54" s="3">
        <v>26.0</v>
      </c>
    </row>
    <row r="55">
      <c r="A55" s="3">
        <v>2.0</v>
      </c>
      <c r="B55" s="3">
        <v>27.0</v>
      </c>
    </row>
    <row r="56">
      <c r="A56" s="3">
        <v>1.0</v>
      </c>
      <c r="B56" s="3">
        <v>1.0</v>
      </c>
    </row>
    <row r="57">
      <c r="A57" s="3">
        <v>1.0</v>
      </c>
      <c r="B57" s="3">
        <v>2.0</v>
      </c>
    </row>
    <row r="58">
      <c r="A58" s="3">
        <v>1.0</v>
      </c>
      <c r="B58" s="3">
        <v>3.0</v>
      </c>
    </row>
    <row r="59">
      <c r="A59" s="3">
        <v>1.0</v>
      </c>
      <c r="B59" s="3">
        <v>4.0</v>
      </c>
    </row>
    <row r="60">
      <c r="A60" s="3">
        <v>1.0</v>
      </c>
      <c r="B60" s="3">
        <v>5.0</v>
      </c>
    </row>
    <row r="61">
      <c r="A61" s="3">
        <v>1.0</v>
      </c>
      <c r="B61" s="3">
        <v>6.0</v>
      </c>
    </row>
    <row r="62">
      <c r="A62" s="3">
        <v>1.0</v>
      </c>
      <c r="B62" s="3">
        <v>7.0</v>
      </c>
    </row>
    <row r="63">
      <c r="A63" s="3">
        <v>1.0</v>
      </c>
      <c r="B63" s="3">
        <v>8.0</v>
      </c>
    </row>
    <row r="64">
      <c r="A64" s="3">
        <v>1.0</v>
      </c>
      <c r="B64" s="3">
        <v>9.0</v>
      </c>
    </row>
    <row r="65">
      <c r="A65" s="3">
        <v>1.0</v>
      </c>
      <c r="B65" s="3">
        <v>10.0</v>
      </c>
    </row>
    <row r="66">
      <c r="A66" s="3">
        <v>1.0</v>
      </c>
      <c r="B66" s="3">
        <v>11.0</v>
      </c>
    </row>
    <row r="67">
      <c r="A67" s="3">
        <v>1.0</v>
      </c>
      <c r="B67" s="3">
        <v>12.0</v>
      </c>
    </row>
    <row r="68">
      <c r="A68" s="3">
        <v>1.0</v>
      </c>
      <c r="B68" s="3">
        <v>13.0</v>
      </c>
    </row>
    <row r="69">
      <c r="A69" s="3">
        <v>1.0</v>
      </c>
      <c r="B69" s="3">
        <v>14.0</v>
      </c>
    </row>
    <row r="70">
      <c r="A70" s="3">
        <v>1.0</v>
      </c>
      <c r="B70" s="3">
        <v>15.0</v>
      </c>
    </row>
    <row r="71">
      <c r="A71" s="3">
        <v>1.0</v>
      </c>
      <c r="B71" s="3">
        <v>16.0</v>
      </c>
    </row>
    <row r="72">
      <c r="A72" s="3">
        <v>1.0</v>
      </c>
      <c r="B72" s="3">
        <v>17.0</v>
      </c>
    </row>
    <row r="73">
      <c r="A73" s="3">
        <v>1.0</v>
      </c>
      <c r="B73" s="3">
        <v>18.0</v>
      </c>
    </row>
    <row r="74">
      <c r="A74" s="3">
        <v>1.0</v>
      </c>
      <c r="B74" s="3">
        <v>19.0</v>
      </c>
    </row>
    <row r="75">
      <c r="A75" s="3">
        <v>1.0</v>
      </c>
      <c r="B75" s="3">
        <v>20.0</v>
      </c>
    </row>
    <row r="76">
      <c r="A76" s="3">
        <v>1.0</v>
      </c>
      <c r="B76" s="3">
        <v>21.0</v>
      </c>
    </row>
    <row r="77">
      <c r="A77" s="3">
        <v>1.0</v>
      </c>
      <c r="B77" s="3">
        <v>22.0</v>
      </c>
    </row>
    <row r="78">
      <c r="A78" s="3">
        <v>1.0</v>
      </c>
      <c r="B78" s="3">
        <v>23.0</v>
      </c>
    </row>
    <row r="79">
      <c r="A79" s="3">
        <v>1.0</v>
      </c>
      <c r="B79" s="3">
        <v>24.0</v>
      </c>
    </row>
    <row r="80">
      <c r="A80" s="3">
        <v>1.0</v>
      </c>
      <c r="B80" s="3">
        <v>25.0</v>
      </c>
    </row>
    <row r="81">
      <c r="A81" s="3">
        <v>1.0</v>
      </c>
      <c r="B81" s="3">
        <v>26.0</v>
      </c>
    </row>
    <row r="82">
      <c r="A82" s="3">
        <v>1.0</v>
      </c>
      <c r="B82" s="3">
        <v>27.0</v>
      </c>
    </row>
    <row r="83">
      <c r="A83" s="3">
        <v>2.0</v>
      </c>
      <c r="B83" s="3">
        <v>1.0</v>
      </c>
    </row>
    <row r="84">
      <c r="A84" s="3">
        <v>2.0</v>
      </c>
      <c r="B84" s="3">
        <v>2.0</v>
      </c>
    </row>
    <row r="85">
      <c r="A85" s="3">
        <v>2.0</v>
      </c>
      <c r="B85" s="3">
        <v>3.0</v>
      </c>
    </row>
    <row r="86">
      <c r="A86" s="3">
        <v>2.0</v>
      </c>
      <c r="B86" s="3">
        <v>4.0</v>
      </c>
    </row>
    <row r="87">
      <c r="A87" s="3">
        <v>2.0</v>
      </c>
      <c r="B87" s="3">
        <v>5.0</v>
      </c>
    </row>
    <row r="88">
      <c r="A88" s="3">
        <v>2.0</v>
      </c>
      <c r="B88" s="3">
        <v>6.0</v>
      </c>
    </row>
    <row r="89">
      <c r="A89" s="3">
        <v>2.0</v>
      </c>
      <c r="B89" s="3">
        <v>7.0</v>
      </c>
    </row>
    <row r="90">
      <c r="A90" s="3">
        <v>2.0</v>
      </c>
      <c r="B90" s="3">
        <v>8.0</v>
      </c>
    </row>
    <row r="91">
      <c r="A91" s="3">
        <v>2.0</v>
      </c>
      <c r="B91" s="3">
        <v>9.0</v>
      </c>
    </row>
    <row r="92">
      <c r="A92" s="3">
        <v>2.0</v>
      </c>
      <c r="B92" s="3">
        <v>10.0</v>
      </c>
    </row>
    <row r="93">
      <c r="A93" s="3">
        <v>2.0</v>
      </c>
      <c r="B93" s="3">
        <v>11.0</v>
      </c>
    </row>
    <row r="94">
      <c r="A94" s="3">
        <v>2.0</v>
      </c>
      <c r="B94" s="3">
        <v>12.0</v>
      </c>
    </row>
    <row r="95">
      <c r="A95" s="3">
        <v>2.0</v>
      </c>
      <c r="B95" s="3">
        <v>13.0</v>
      </c>
    </row>
    <row r="96">
      <c r="A96" s="3">
        <v>2.0</v>
      </c>
      <c r="B96" s="3">
        <v>14.0</v>
      </c>
    </row>
    <row r="97">
      <c r="A97" s="3">
        <v>2.0</v>
      </c>
      <c r="B97" s="3">
        <v>15.0</v>
      </c>
    </row>
    <row r="98">
      <c r="A98" s="3">
        <v>2.0</v>
      </c>
      <c r="B98" s="3">
        <v>16.0</v>
      </c>
    </row>
    <row r="99">
      <c r="A99" s="3">
        <v>2.0</v>
      </c>
      <c r="B99" s="3">
        <v>17.0</v>
      </c>
    </row>
    <row r="100">
      <c r="A100" s="3">
        <v>2.0</v>
      </c>
      <c r="B100" s="3">
        <v>18.0</v>
      </c>
    </row>
    <row r="101">
      <c r="A101" s="3">
        <v>2.0</v>
      </c>
      <c r="B101" s="3">
        <v>19.0</v>
      </c>
    </row>
    <row r="102">
      <c r="A102" s="3">
        <v>2.0</v>
      </c>
      <c r="B102" s="3">
        <v>20.0</v>
      </c>
    </row>
    <row r="103">
      <c r="A103" s="3">
        <v>2.0</v>
      </c>
      <c r="B103" s="3">
        <v>21.0</v>
      </c>
    </row>
    <row r="104">
      <c r="A104" s="3">
        <v>2.0</v>
      </c>
      <c r="B104" s="3">
        <v>22.0</v>
      </c>
    </row>
    <row r="105">
      <c r="A105" s="3">
        <v>2.0</v>
      </c>
      <c r="B105" s="3">
        <v>23.0</v>
      </c>
    </row>
    <row r="106">
      <c r="A106" s="3">
        <v>2.0</v>
      </c>
      <c r="B106" s="3">
        <v>24.0</v>
      </c>
    </row>
    <row r="107">
      <c r="A107" s="3">
        <v>2.0</v>
      </c>
      <c r="B107" s="3">
        <v>25.0</v>
      </c>
    </row>
    <row r="108">
      <c r="A108" s="3">
        <v>2.0</v>
      </c>
      <c r="B108" s="3">
        <v>26.0</v>
      </c>
    </row>
    <row r="109">
      <c r="A109" s="3">
        <v>2.0</v>
      </c>
      <c r="B109" s="3">
        <v>27.0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c r="C1" s="2" t="s">
        <v>2</v>
      </c>
      <c r="D1" s="2" t="s">
        <v>3</v>
      </c>
      <c r="E1" s="2" t="s">
        <v>4</v>
      </c>
      <c r="F1" s="2" t="s">
        <v>5</v>
      </c>
      <c r="G1" s="2" t="s">
        <v>6</v>
      </c>
      <c r="H1" s="2" t="s">
        <v>7</v>
      </c>
      <c r="I1" s="2" t="s">
        <v>8</v>
      </c>
      <c r="J1" s="2" t="s">
        <v>9</v>
      </c>
      <c r="K1" s="2" t="s">
        <v>10</v>
      </c>
      <c r="L1" s="2" t="s">
        <v>11</v>
      </c>
      <c r="M1" s="2" t="s">
        <v>12</v>
      </c>
    </row>
    <row r="2">
      <c r="A2" s="3">
        <v>1.0</v>
      </c>
      <c r="B2" s="3">
        <v>1.0</v>
      </c>
      <c r="C2" s="2" t="s">
        <v>13</v>
      </c>
      <c r="D2" s="2" t="s">
        <v>14</v>
      </c>
      <c r="E2" s="2" t="s">
        <v>15</v>
      </c>
      <c r="F2" s="2" t="s">
        <v>16</v>
      </c>
      <c r="G2" s="2" t="s">
        <v>17</v>
      </c>
      <c r="H2" s="2" t="s">
        <v>18</v>
      </c>
      <c r="I2" s="2" t="s">
        <v>19</v>
      </c>
      <c r="J2" s="2" t="s">
        <v>20</v>
      </c>
      <c r="K2" s="2" t="s">
        <v>21</v>
      </c>
      <c r="L2" s="2" t="s">
        <v>22</v>
      </c>
      <c r="M2" s="2" t="s">
        <v>23</v>
      </c>
    </row>
    <row r="3">
      <c r="A3" s="3">
        <v>1.0</v>
      </c>
      <c r="B3" s="3">
        <v>2.0</v>
      </c>
      <c r="C3" s="2" t="s">
        <v>13</v>
      </c>
      <c r="D3" s="2" t="s">
        <v>27</v>
      </c>
      <c r="E3" s="2" t="s">
        <v>15</v>
      </c>
      <c r="F3" s="2" t="s">
        <v>28</v>
      </c>
      <c r="G3" s="2" t="s">
        <v>29</v>
      </c>
      <c r="H3" s="2" t="s">
        <v>30</v>
      </c>
      <c r="I3" s="2" t="s">
        <v>32</v>
      </c>
      <c r="J3" s="2" t="s">
        <v>26</v>
      </c>
      <c r="K3" s="2" t="s">
        <v>33</v>
      </c>
      <c r="L3" s="2" t="s">
        <v>22</v>
      </c>
      <c r="M3" s="2" t="s">
        <v>23</v>
      </c>
    </row>
    <row r="4">
      <c r="A4" s="3">
        <v>1.0</v>
      </c>
      <c r="B4" s="3">
        <v>3.0</v>
      </c>
      <c r="C4" s="2" t="s">
        <v>13</v>
      </c>
      <c r="D4" s="4" t="s">
        <v>54</v>
      </c>
      <c r="E4" s="2" t="s">
        <v>15</v>
      </c>
      <c r="F4" s="2" t="s">
        <v>50</v>
      </c>
      <c r="G4" s="2" t="s">
        <v>51</v>
      </c>
      <c r="H4" s="2" t="s">
        <v>52</v>
      </c>
      <c r="I4" s="2" t="s">
        <v>53</v>
      </c>
      <c r="J4" s="2" t="s">
        <v>37</v>
      </c>
      <c r="K4" s="2" t="s">
        <v>42</v>
      </c>
      <c r="L4" s="2" t="s">
        <v>22</v>
      </c>
      <c r="M4" s="2" t="s">
        <v>43</v>
      </c>
    </row>
    <row r="5">
      <c r="A5" s="3">
        <v>1.0</v>
      </c>
      <c r="B5" s="3">
        <v>4.0</v>
      </c>
      <c r="C5" s="2" t="s">
        <v>13</v>
      </c>
      <c r="D5" s="2" t="s">
        <v>66</v>
      </c>
      <c r="E5" s="2" t="s">
        <v>15</v>
      </c>
      <c r="F5" s="2" t="s">
        <v>63</v>
      </c>
      <c r="G5" s="2" t="s">
        <v>64</v>
      </c>
      <c r="H5" s="2" t="s">
        <v>67</v>
      </c>
      <c r="I5" s="2" t="s">
        <v>35</v>
      </c>
      <c r="J5" s="2" t="s">
        <v>37</v>
      </c>
      <c r="K5" s="2" t="s">
        <v>21</v>
      </c>
      <c r="L5" s="2" t="s">
        <v>22</v>
      </c>
      <c r="M5" s="2" t="s">
        <v>23</v>
      </c>
    </row>
    <row r="6">
      <c r="A6" s="3">
        <v>1.0</v>
      </c>
      <c r="B6" s="3">
        <v>5.0</v>
      </c>
      <c r="C6" s="2" t="s">
        <v>13</v>
      </c>
      <c r="D6" s="4" t="s">
        <v>72</v>
      </c>
      <c r="E6" s="2" t="s">
        <v>15</v>
      </c>
      <c r="F6" s="2" t="s">
        <v>38</v>
      </c>
      <c r="G6" s="2" t="s">
        <v>83</v>
      </c>
      <c r="H6" s="2" t="s">
        <v>35</v>
      </c>
      <c r="I6" s="2" t="s">
        <v>85</v>
      </c>
      <c r="J6" s="2" t="s">
        <v>37</v>
      </c>
      <c r="K6" s="2" t="s">
        <v>42</v>
      </c>
      <c r="L6" s="2" t="s">
        <v>22</v>
      </c>
      <c r="M6" s="2" t="s">
        <v>92</v>
      </c>
    </row>
    <row r="7">
      <c r="A7" s="3">
        <v>1.0</v>
      </c>
      <c r="B7" s="3">
        <v>6.0</v>
      </c>
      <c r="C7" s="2" t="s">
        <v>13</v>
      </c>
      <c r="D7" s="4" t="s">
        <v>96</v>
      </c>
      <c r="E7" s="2" t="s">
        <v>75</v>
      </c>
      <c r="F7" s="2" t="s">
        <v>100</v>
      </c>
      <c r="G7" s="2" t="s">
        <v>102</v>
      </c>
      <c r="H7" s="2" t="s">
        <v>103</v>
      </c>
      <c r="I7" s="2" t="s">
        <v>105</v>
      </c>
      <c r="J7" s="2" t="s">
        <v>37</v>
      </c>
      <c r="K7" s="2" t="s">
        <v>81</v>
      </c>
      <c r="L7" s="2" t="s">
        <v>82</v>
      </c>
      <c r="M7" s="2" t="s">
        <v>23</v>
      </c>
    </row>
    <row r="8">
      <c r="A8" s="3">
        <v>1.0</v>
      </c>
      <c r="B8" s="3">
        <v>7.0</v>
      </c>
      <c r="C8" s="2" t="s">
        <v>13</v>
      </c>
      <c r="D8" s="6" t="s">
        <v>115</v>
      </c>
      <c r="E8" s="2" t="s">
        <v>117</v>
      </c>
      <c r="F8" s="2" t="s">
        <v>119</v>
      </c>
      <c r="G8" s="2" t="s">
        <v>121</v>
      </c>
      <c r="H8" s="2" t="s">
        <v>123</v>
      </c>
      <c r="I8" s="2" t="s">
        <v>125</v>
      </c>
      <c r="J8" s="2" t="s">
        <v>41</v>
      </c>
      <c r="K8" s="2" t="s">
        <v>21</v>
      </c>
      <c r="L8" s="2" t="s">
        <v>82</v>
      </c>
      <c r="M8" s="2" t="s">
        <v>92</v>
      </c>
    </row>
    <row r="9">
      <c r="A9" s="3">
        <v>1.0</v>
      </c>
      <c r="B9" s="3">
        <v>8.0</v>
      </c>
    </row>
    <row r="10">
      <c r="A10" s="3">
        <v>1.0</v>
      </c>
      <c r="B10" s="3">
        <v>9.0</v>
      </c>
    </row>
    <row r="11">
      <c r="A11" s="3">
        <v>1.0</v>
      </c>
      <c r="B11" s="3">
        <v>10.0</v>
      </c>
    </row>
    <row r="12">
      <c r="A12" s="3">
        <v>1.0</v>
      </c>
      <c r="B12" s="3">
        <v>11.0</v>
      </c>
    </row>
    <row r="13">
      <c r="A13" s="3">
        <v>1.0</v>
      </c>
      <c r="B13" s="3">
        <v>12.0</v>
      </c>
    </row>
    <row r="14">
      <c r="A14" s="3">
        <v>1.0</v>
      </c>
      <c r="B14" s="3">
        <v>13.0</v>
      </c>
    </row>
    <row r="15">
      <c r="A15" s="3">
        <v>1.0</v>
      </c>
      <c r="B15" s="3">
        <v>14.0</v>
      </c>
    </row>
    <row r="16">
      <c r="A16" s="3">
        <v>1.0</v>
      </c>
      <c r="B16" s="3">
        <v>15.0</v>
      </c>
    </row>
    <row r="17">
      <c r="A17" s="3">
        <v>1.0</v>
      </c>
      <c r="B17" s="3">
        <v>16.0</v>
      </c>
    </row>
    <row r="18">
      <c r="A18" s="3">
        <v>1.0</v>
      </c>
      <c r="B18" s="3">
        <v>17.0</v>
      </c>
    </row>
    <row r="19">
      <c r="A19" s="3">
        <v>1.0</v>
      </c>
      <c r="B19" s="3">
        <v>18.0</v>
      </c>
    </row>
    <row r="20">
      <c r="A20" s="3">
        <v>1.0</v>
      </c>
      <c r="B20" s="3">
        <v>19.0</v>
      </c>
    </row>
    <row r="21">
      <c r="A21" s="3">
        <v>1.0</v>
      </c>
      <c r="B21" s="3">
        <v>20.0</v>
      </c>
    </row>
    <row r="22">
      <c r="A22" s="3">
        <v>1.0</v>
      </c>
      <c r="B22" s="3">
        <v>21.0</v>
      </c>
    </row>
    <row r="23">
      <c r="A23" s="3">
        <v>1.0</v>
      </c>
      <c r="B23" s="3">
        <v>22.0</v>
      </c>
    </row>
    <row r="24">
      <c r="A24" s="3">
        <v>1.0</v>
      </c>
      <c r="B24" s="3">
        <v>23.0</v>
      </c>
    </row>
    <row r="25">
      <c r="A25" s="3">
        <v>1.0</v>
      </c>
      <c r="B25" s="3">
        <v>24.0</v>
      </c>
    </row>
    <row r="26">
      <c r="A26" s="3">
        <v>1.0</v>
      </c>
      <c r="B26" s="3">
        <v>25.0</v>
      </c>
    </row>
    <row r="27">
      <c r="A27" s="3">
        <v>1.0</v>
      </c>
      <c r="B27" s="3">
        <v>26.0</v>
      </c>
    </row>
    <row r="28">
      <c r="A28" s="3">
        <v>1.0</v>
      </c>
      <c r="B28" s="3">
        <v>27.0</v>
      </c>
    </row>
    <row r="29">
      <c r="A29" s="3">
        <v>2.0</v>
      </c>
      <c r="B29" s="3">
        <v>1.0</v>
      </c>
    </row>
    <row r="30">
      <c r="A30" s="3">
        <v>2.0</v>
      </c>
      <c r="B30" s="3">
        <v>2.0</v>
      </c>
    </row>
    <row r="31">
      <c r="A31" s="3">
        <v>2.0</v>
      </c>
      <c r="B31" s="3">
        <v>3.0</v>
      </c>
    </row>
    <row r="32">
      <c r="A32" s="3">
        <v>2.0</v>
      </c>
      <c r="B32" s="3">
        <v>4.0</v>
      </c>
    </row>
    <row r="33">
      <c r="A33" s="3">
        <v>2.0</v>
      </c>
      <c r="B33" s="3">
        <v>5.0</v>
      </c>
    </row>
    <row r="34">
      <c r="A34" s="3">
        <v>2.0</v>
      </c>
      <c r="B34" s="3">
        <v>6.0</v>
      </c>
    </row>
    <row r="35">
      <c r="A35" s="3">
        <v>2.0</v>
      </c>
      <c r="B35" s="3">
        <v>7.0</v>
      </c>
    </row>
    <row r="36">
      <c r="A36" s="3">
        <v>2.0</v>
      </c>
      <c r="B36" s="3">
        <v>8.0</v>
      </c>
    </row>
    <row r="37">
      <c r="A37" s="3">
        <v>2.0</v>
      </c>
      <c r="B37" s="3">
        <v>9.0</v>
      </c>
    </row>
    <row r="38">
      <c r="A38" s="3">
        <v>2.0</v>
      </c>
      <c r="B38" s="3">
        <v>10.0</v>
      </c>
    </row>
    <row r="39">
      <c r="A39" s="3">
        <v>2.0</v>
      </c>
      <c r="B39" s="3">
        <v>11.0</v>
      </c>
    </row>
    <row r="40">
      <c r="A40" s="3">
        <v>2.0</v>
      </c>
      <c r="B40" s="3">
        <v>12.0</v>
      </c>
    </row>
    <row r="41">
      <c r="A41" s="3">
        <v>2.0</v>
      </c>
      <c r="B41" s="3">
        <v>13.0</v>
      </c>
    </row>
    <row r="42">
      <c r="A42" s="3">
        <v>2.0</v>
      </c>
      <c r="B42" s="3">
        <v>14.0</v>
      </c>
    </row>
    <row r="43">
      <c r="A43" s="3">
        <v>2.0</v>
      </c>
      <c r="B43" s="3">
        <v>15.0</v>
      </c>
    </row>
    <row r="44">
      <c r="A44" s="3">
        <v>2.0</v>
      </c>
      <c r="B44" s="3">
        <v>16.0</v>
      </c>
    </row>
    <row r="45">
      <c r="A45" s="3">
        <v>2.0</v>
      </c>
      <c r="B45" s="3">
        <v>17.0</v>
      </c>
    </row>
    <row r="46">
      <c r="A46" s="3">
        <v>2.0</v>
      </c>
      <c r="B46" s="3">
        <v>18.0</v>
      </c>
    </row>
    <row r="47">
      <c r="A47" s="3">
        <v>2.0</v>
      </c>
      <c r="B47" s="3">
        <v>19.0</v>
      </c>
    </row>
    <row r="48">
      <c r="A48" s="3">
        <v>2.0</v>
      </c>
      <c r="B48" s="3">
        <v>20.0</v>
      </c>
    </row>
    <row r="49">
      <c r="A49" s="3">
        <v>2.0</v>
      </c>
      <c r="B49" s="3">
        <v>21.0</v>
      </c>
    </row>
    <row r="50">
      <c r="A50" s="3">
        <v>2.0</v>
      </c>
      <c r="B50" s="3">
        <v>22.0</v>
      </c>
    </row>
    <row r="51">
      <c r="A51" s="3">
        <v>2.0</v>
      </c>
      <c r="B51" s="3">
        <v>23.0</v>
      </c>
    </row>
    <row r="52">
      <c r="A52" s="3">
        <v>2.0</v>
      </c>
      <c r="B52" s="3">
        <v>24.0</v>
      </c>
    </row>
    <row r="53">
      <c r="A53" s="3">
        <v>2.0</v>
      </c>
      <c r="B53" s="3">
        <v>25.0</v>
      </c>
    </row>
    <row r="54">
      <c r="A54" s="3">
        <v>2.0</v>
      </c>
      <c r="B54" s="3">
        <v>26.0</v>
      </c>
    </row>
    <row r="55">
      <c r="A55" s="3">
        <v>2.0</v>
      </c>
      <c r="B55" s="3">
        <v>27.0</v>
      </c>
    </row>
    <row r="56">
      <c r="A56" s="3">
        <v>1.0</v>
      </c>
      <c r="B56" s="3">
        <v>1.0</v>
      </c>
    </row>
    <row r="57">
      <c r="A57" s="3">
        <v>1.0</v>
      </c>
      <c r="B57" s="3">
        <v>2.0</v>
      </c>
    </row>
    <row r="58">
      <c r="A58" s="3">
        <v>1.0</v>
      </c>
      <c r="B58" s="3">
        <v>3.0</v>
      </c>
    </row>
    <row r="59">
      <c r="A59" s="3">
        <v>1.0</v>
      </c>
      <c r="B59" s="3">
        <v>4.0</v>
      </c>
    </row>
    <row r="60">
      <c r="A60" s="3">
        <v>1.0</v>
      </c>
      <c r="B60" s="3">
        <v>5.0</v>
      </c>
    </row>
    <row r="61">
      <c r="A61" s="3">
        <v>1.0</v>
      </c>
      <c r="B61" s="3">
        <v>6.0</v>
      </c>
    </row>
    <row r="62">
      <c r="A62" s="3">
        <v>1.0</v>
      </c>
      <c r="B62" s="3">
        <v>7.0</v>
      </c>
    </row>
    <row r="63">
      <c r="A63" s="3">
        <v>1.0</v>
      </c>
      <c r="B63" s="3">
        <v>8.0</v>
      </c>
    </row>
    <row r="64">
      <c r="A64" s="3">
        <v>1.0</v>
      </c>
      <c r="B64" s="3">
        <v>9.0</v>
      </c>
    </row>
    <row r="65">
      <c r="A65" s="3">
        <v>1.0</v>
      </c>
      <c r="B65" s="3">
        <v>10.0</v>
      </c>
    </row>
    <row r="66">
      <c r="A66" s="3">
        <v>1.0</v>
      </c>
      <c r="B66" s="3">
        <v>11.0</v>
      </c>
    </row>
    <row r="67">
      <c r="A67" s="3">
        <v>1.0</v>
      </c>
      <c r="B67" s="3">
        <v>12.0</v>
      </c>
    </row>
    <row r="68">
      <c r="A68" s="3">
        <v>1.0</v>
      </c>
      <c r="B68" s="3">
        <v>13.0</v>
      </c>
    </row>
    <row r="69">
      <c r="A69" s="3">
        <v>1.0</v>
      </c>
      <c r="B69" s="3">
        <v>14.0</v>
      </c>
    </row>
    <row r="70">
      <c r="A70" s="3">
        <v>1.0</v>
      </c>
      <c r="B70" s="3">
        <v>15.0</v>
      </c>
    </row>
    <row r="71">
      <c r="A71" s="3">
        <v>1.0</v>
      </c>
      <c r="B71" s="3">
        <v>16.0</v>
      </c>
    </row>
    <row r="72">
      <c r="A72" s="3">
        <v>1.0</v>
      </c>
      <c r="B72" s="3">
        <v>17.0</v>
      </c>
    </row>
    <row r="73">
      <c r="A73" s="3">
        <v>1.0</v>
      </c>
      <c r="B73" s="3">
        <v>18.0</v>
      </c>
    </row>
    <row r="74">
      <c r="A74" s="3">
        <v>1.0</v>
      </c>
      <c r="B74" s="3">
        <v>19.0</v>
      </c>
    </row>
    <row r="75">
      <c r="A75" s="3">
        <v>1.0</v>
      </c>
      <c r="B75" s="3">
        <v>20.0</v>
      </c>
    </row>
    <row r="76">
      <c r="A76" s="3">
        <v>1.0</v>
      </c>
      <c r="B76" s="3">
        <v>21.0</v>
      </c>
    </row>
    <row r="77">
      <c r="A77" s="3">
        <v>1.0</v>
      </c>
      <c r="B77" s="3">
        <v>22.0</v>
      </c>
    </row>
    <row r="78">
      <c r="A78" s="3">
        <v>1.0</v>
      </c>
      <c r="B78" s="3">
        <v>23.0</v>
      </c>
    </row>
    <row r="79">
      <c r="A79" s="3">
        <v>1.0</v>
      </c>
      <c r="B79" s="3">
        <v>24.0</v>
      </c>
    </row>
    <row r="80">
      <c r="A80" s="3">
        <v>1.0</v>
      </c>
      <c r="B80" s="3">
        <v>25.0</v>
      </c>
    </row>
    <row r="81">
      <c r="A81" s="3">
        <v>1.0</v>
      </c>
      <c r="B81" s="3">
        <v>26.0</v>
      </c>
    </row>
    <row r="82">
      <c r="A82" s="3">
        <v>1.0</v>
      </c>
      <c r="B82" s="3">
        <v>27.0</v>
      </c>
    </row>
    <row r="83">
      <c r="A83" s="3">
        <v>2.0</v>
      </c>
      <c r="B83" s="3">
        <v>1.0</v>
      </c>
    </row>
    <row r="84">
      <c r="A84" s="3">
        <v>2.0</v>
      </c>
      <c r="B84" s="3">
        <v>2.0</v>
      </c>
    </row>
    <row r="85">
      <c r="A85" s="3">
        <v>2.0</v>
      </c>
      <c r="B85" s="3">
        <v>3.0</v>
      </c>
    </row>
    <row r="86">
      <c r="A86" s="3">
        <v>2.0</v>
      </c>
      <c r="B86" s="3">
        <v>4.0</v>
      </c>
    </row>
    <row r="87">
      <c r="A87" s="3">
        <v>2.0</v>
      </c>
      <c r="B87" s="3">
        <v>5.0</v>
      </c>
    </row>
    <row r="88">
      <c r="A88" s="3">
        <v>2.0</v>
      </c>
      <c r="B88" s="3">
        <v>6.0</v>
      </c>
    </row>
    <row r="89">
      <c r="A89" s="3">
        <v>2.0</v>
      </c>
      <c r="B89" s="3">
        <v>7.0</v>
      </c>
    </row>
    <row r="90">
      <c r="A90" s="3">
        <v>2.0</v>
      </c>
      <c r="B90" s="3">
        <v>8.0</v>
      </c>
    </row>
    <row r="91">
      <c r="A91" s="3">
        <v>2.0</v>
      </c>
      <c r="B91" s="3">
        <v>9.0</v>
      </c>
    </row>
    <row r="92">
      <c r="A92" s="3">
        <v>2.0</v>
      </c>
      <c r="B92" s="3">
        <v>10.0</v>
      </c>
    </row>
    <row r="93">
      <c r="A93" s="3">
        <v>2.0</v>
      </c>
      <c r="B93" s="3">
        <v>11.0</v>
      </c>
    </row>
    <row r="94">
      <c r="A94" s="3">
        <v>2.0</v>
      </c>
      <c r="B94" s="3">
        <v>12.0</v>
      </c>
    </row>
    <row r="95">
      <c r="A95" s="3">
        <v>2.0</v>
      </c>
      <c r="B95" s="3">
        <v>13.0</v>
      </c>
    </row>
    <row r="96">
      <c r="A96" s="3">
        <v>2.0</v>
      </c>
      <c r="B96" s="3">
        <v>14.0</v>
      </c>
    </row>
    <row r="97">
      <c r="A97" s="3">
        <v>2.0</v>
      </c>
      <c r="B97" s="3">
        <v>15.0</v>
      </c>
    </row>
    <row r="98">
      <c r="A98" s="3">
        <v>2.0</v>
      </c>
      <c r="B98" s="3">
        <v>16.0</v>
      </c>
    </row>
    <row r="99">
      <c r="A99" s="3">
        <v>2.0</v>
      </c>
      <c r="B99" s="3">
        <v>17.0</v>
      </c>
    </row>
    <row r="100">
      <c r="A100" s="3">
        <v>2.0</v>
      </c>
      <c r="B100" s="3">
        <v>18.0</v>
      </c>
    </row>
    <row r="101">
      <c r="A101" s="3">
        <v>2.0</v>
      </c>
      <c r="B101" s="3">
        <v>19.0</v>
      </c>
    </row>
    <row r="102">
      <c r="A102" s="3">
        <v>2.0</v>
      </c>
      <c r="B102" s="3">
        <v>20.0</v>
      </c>
    </row>
    <row r="103">
      <c r="A103" s="3">
        <v>2.0</v>
      </c>
      <c r="B103" s="3">
        <v>21.0</v>
      </c>
    </row>
    <row r="104">
      <c r="A104" s="3">
        <v>2.0</v>
      </c>
      <c r="B104" s="3">
        <v>22.0</v>
      </c>
    </row>
    <row r="105">
      <c r="A105" s="3">
        <v>2.0</v>
      </c>
      <c r="B105" s="3">
        <v>23.0</v>
      </c>
    </row>
    <row r="106">
      <c r="A106" s="3">
        <v>2.0</v>
      </c>
      <c r="B106" s="3">
        <v>24.0</v>
      </c>
    </row>
    <row r="107">
      <c r="A107" s="3">
        <v>2.0</v>
      </c>
      <c r="B107" s="3">
        <v>25.0</v>
      </c>
    </row>
    <row r="108">
      <c r="A108" s="3">
        <v>2.0</v>
      </c>
      <c r="B108" s="3">
        <v>26.0</v>
      </c>
    </row>
    <row r="109">
      <c r="A109" s="3">
        <v>2.0</v>
      </c>
      <c r="B109" s="3">
        <v>27.0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c r="C1" s="2" t="s">
        <v>2</v>
      </c>
      <c r="D1" s="2" t="s">
        <v>3</v>
      </c>
      <c r="E1" s="2" t="s">
        <v>4</v>
      </c>
      <c r="F1" s="2" t="s">
        <v>5</v>
      </c>
      <c r="G1" s="2" t="s">
        <v>6</v>
      </c>
      <c r="H1" s="2" t="s">
        <v>7</v>
      </c>
      <c r="I1" s="2" t="s">
        <v>8</v>
      </c>
      <c r="J1" s="2" t="s">
        <v>9</v>
      </c>
      <c r="K1" s="2" t="s">
        <v>10</v>
      </c>
      <c r="L1" s="2" t="s">
        <v>11</v>
      </c>
      <c r="M1" s="2" t="s">
        <v>12</v>
      </c>
    </row>
    <row r="2">
      <c r="A2" s="3">
        <v>1.0</v>
      </c>
      <c r="B2" s="3">
        <v>1.0</v>
      </c>
      <c r="C2" s="2" t="s">
        <v>13</v>
      </c>
      <c r="D2" s="2" t="s">
        <v>218</v>
      </c>
      <c r="E2" s="2" t="s">
        <v>15</v>
      </c>
      <c r="F2" s="2" t="s">
        <v>220</v>
      </c>
      <c r="G2" s="2" t="s">
        <v>221</v>
      </c>
      <c r="H2" s="2" t="s">
        <v>222</v>
      </c>
      <c r="I2" s="2" t="s">
        <v>223</v>
      </c>
      <c r="J2" s="2" t="s">
        <v>20</v>
      </c>
      <c r="K2" s="2" t="s">
        <v>33</v>
      </c>
      <c r="L2" s="2" t="s">
        <v>22</v>
      </c>
      <c r="M2" s="2" t="s">
        <v>23</v>
      </c>
    </row>
    <row r="3">
      <c r="A3" s="3">
        <v>1.0</v>
      </c>
      <c r="B3" s="3">
        <v>2.0</v>
      </c>
      <c r="C3" s="2" t="s">
        <v>13</v>
      </c>
      <c r="D3" s="2" t="s">
        <v>227</v>
      </c>
      <c r="E3" s="2" t="s">
        <v>228</v>
      </c>
      <c r="F3" s="2" t="s">
        <v>230</v>
      </c>
      <c r="G3" s="2" t="s">
        <v>231</v>
      </c>
      <c r="H3" s="2" t="s">
        <v>233</v>
      </c>
      <c r="I3" s="2" t="s">
        <v>234</v>
      </c>
      <c r="J3" s="2" t="s">
        <v>41</v>
      </c>
      <c r="K3" s="2" t="s">
        <v>81</v>
      </c>
      <c r="L3" s="2" t="s">
        <v>22</v>
      </c>
      <c r="M3" s="2" t="s">
        <v>23</v>
      </c>
    </row>
    <row r="4">
      <c r="A4" s="3">
        <v>1.0</v>
      </c>
      <c r="B4" s="3">
        <v>3.0</v>
      </c>
      <c r="C4" s="2" t="s">
        <v>13</v>
      </c>
      <c r="D4" s="2" t="s">
        <v>236</v>
      </c>
      <c r="E4" s="2" t="s">
        <v>15</v>
      </c>
      <c r="F4" s="2" t="s">
        <v>237</v>
      </c>
      <c r="G4" s="2" t="s">
        <v>239</v>
      </c>
      <c r="H4" s="2" t="s">
        <v>240</v>
      </c>
      <c r="I4" s="2" t="s">
        <v>242</v>
      </c>
      <c r="J4" s="2" t="s">
        <v>20</v>
      </c>
      <c r="K4" s="2" t="s">
        <v>33</v>
      </c>
      <c r="L4" s="2" t="s">
        <v>22</v>
      </c>
      <c r="M4" s="2" t="s">
        <v>23</v>
      </c>
    </row>
    <row r="5">
      <c r="A5" s="3">
        <v>1.0</v>
      </c>
      <c r="B5" s="3">
        <v>4.0</v>
      </c>
      <c r="C5" s="2" t="s">
        <v>13</v>
      </c>
      <c r="D5" s="2" t="s">
        <v>247</v>
      </c>
      <c r="E5" s="2" t="s">
        <v>15</v>
      </c>
      <c r="F5" s="2" t="s">
        <v>248</v>
      </c>
      <c r="G5" s="2" t="s">
        <v>249</v>
      </c>
      <c r="H5" s="2" t="s">
        <v>250</v>
      </c>
      <c r="I5" s="2" t="s">
        <v>251</v>
      </c>
      <c r="J5" s="2" t="s">
        <v>37</v>
      </c>
      <c r="K5" s="2" t="s">
        <v>21</v>
      </c>
      <c r="L5" s="2" t="s">
        <v>22</v>
      </c>
      <c r="M5" s="2" t="s">
        <v>43</v>
      </c>
    </row>
    <row r="6">
      <c r="A6" s="3">
        <v>1.0</v>
      </c>
      <c r="B6" s="3">
        <v>5.0</v>
      </c>
      <c r="C6" s="2" t="s">
        <v>13</v>
      </c>
      <c r="D6" s="4" t="s">
        <v>258</v>
      </c>
      <c r="E6" s="2" t="s">
        <v>259</v>
      </c>
      <c r="F6" s="2" t="s">
        <v>260</v>
      </c>
      <c r="G6" s="2" t="s">
        <v>261</v>
      </c>
      <c r="H6" s="2" t="s">
        <v>262</v>
      </c>
      <c r="I6" s="2" t="s">
        <v>263</v>
      </c>
      <c r="J6" s="2" t="s">
        <v>41</v>
      </c>
      <c r="K6" s="2" t="s">
        <v>81</v>
      </c>
      <c r="L6" s="2" t="s">
        <v>22</v>
      </c>
      <c r="M6" s="2" t="s">
        <v>23</v>
      </c>
    </row>
    <row r="7">
      <c r="A7" s="3">
        <v>1.0</v>
      </c>
      <c r="B7" s="3">
        <v>6.0</v>
      </c>
      <c r="C7" s="2" t="s">
        <v>13</v>
      </c>
      <c r="D7" s="2" t="s">
        <v>264</v>
      </c>
      <c r="E7" s="2" t="s">
        <v>75</v>
      </c>
      <c r="F7" s="2" t="s">
        <v>267</v>
      </c>
      <c r="G7" s="2" t="s">
        <v>269</v>
      </c>
      <c r="H7" s="2" t="s">
        <v>270</v>
      </c>
      <c r="I7" s="2" t="s">
        <v>272</v>
      </c>
      <c r="J7" s="2" t="s">
        <v>26</v>
      </c>
      <c r="K7" s="2" t="s">
        <v>42</v>
      </c>
      <c r="L7" s="2" t="s">
        <v>82</v>
      </c>
      <c r="M7" s="2" t="s">
        <v>23</v>
      </c>
    </row>
    <row r="8">
      <c r="A8" s="3">
        <v>1.0</v>
      </c>
      <c r="B8" s="3">
        <v>7.0</v>
      </c>
      <c r="C8" s="2" t="s">
        <v>13</v>
      </c>
      <c r="D8" s="2" t="s">
        <v>275</v>
      </c>
      <c r="E8" s="2" t="s">
        <v>75</v>
      </c>
      <c r="F8" s="2" t="s">
        <v>270</v>
      </c>
      <c r="G8" s="2" t="s">
        <v>276</v>
      </c>
      <c r="H8" s="2" t="s">
        <v>277</v>
      </c>
      <c r="I8" s="2" t="s">
        <v>278</v>
      </c>
      <c r="J8" s="2" t="s">
        <v>26</v>
      </c>
      <c r="K8" s="2" t="s">
        <v>42</v>
      </c>
      <c r="L8" s="2" t="s">
        <v>82</v>
      </c>
      <c r="M8" s="2" t="s">
        <v>23</v>
      </c>
    </row>
    <row r="9">
      <c r="A9" s="3">
        <v>1.0</v>
      </c>
      <c r="B9" s="3">
        <v>8.0</v>
      </c>
      <c r="C9" s="2" t="s">
        <v>13</v>
      </c>
      <c r="D9" s="2" t="s">
        <v>281</v>
      </c>
      <c r="E9" s="2" t="s">
        <v>86</v>
      </c>
      <c r="F9" s="2" t="s">
        <v>284</v>
      </c>
      <c r="G9" s="2" t="s">
        <v>286</v>
      </c>
      <c r="H9" s="2" t="s">
        <v>287</v>
      </c>
      <c r="I9" s="2" t="s">
        <v>288</v>
      </c>
      <c r="J9" s="2" t="s">
        <v>26</v>
      </c>
      <c r="K9" s="2" t="s">
        <v>33</v>
      </c>
      <c r="L9" s="2" t="s">
        <v>82</v>
      </c>
      <c r="M9" s="2" t="s">
        <v>92</v>
      </c>
    </row>
    <row r="10">
      <c r="A10" s="3">
        <v>1.0</v>
      </c>
      <c r="B10" s="3">
        <v>9.0</v>
      </c>
      <c r="C10" s="2" t="s">
        <v>13</v>
      </c>
      <c r="D10" s="2" t="s">
        <v>289</v>
      </c>
      <c r="E10" s="2" t="s">
        <v>290</v>
      </c>
      <c r="F10" s="2" t="s">
        <v>292</v>
      </c>
      <c r="G10" s="2" t="s">
        <v>293</v>
      </c>
      <c r="H10" s="2" t="s">
        <v>294</v>
      </c>
      <c r="I10" s="2" t="s">
        <v>296</v>
      </c>
      <c r="J10" s="2" t="s">
        <v>41</v>
      </c>
      <c r="K10" s="2" t="s">
        <v>81</v>
      </c>
      <c r="L10" s="2" t="s">
        <v>112</v>
      </c>
      <c r="M10" s="2" t="s">
        <v>23</v>
      </c>
    </row>
    <row r="11">
      <c r="A11" s="3">
        <v>1.0</v>
      </c>
      <c r="B11" s="3">
        <v>10.0</v>
      </c>
      <c r="C11" s="2" t="s">
        <v>13</v>
      </c>
      <c r="D11" s="2" t="s">
        <v>300</v>
      </c>
      <c r="E11" s="2" t="s">
        <v>301</v>
      </c>
      <c r="F11" s="2" t="s">
        <v>302</v>
      </c>
      <c r="G11" s="2" t="s">
        <v>303</v>
      </c>
      <c r="H11" s="2" t="s">
        <v>304</v>
      </c>
      <c r="I11" s="2" t="s">
        <v>305</v>
      </c>
      <c r="J11" s="2" t="s">
        <v>41</v>
      </c>
      <c r="K11" s="2" t="s">
        <v>33</v>
      </c>
      <c r="L11" s="2" t="s">
        <v>136</v>
      </c>
      <c r="M11" s="2" t="s">
        <v>23</v>
      </c>
    </row>
    <row r="12">
      <c r="A12" s="3">
        <v>1.0</v>
      </c>
      <c r="B12" s="3">
        <v>11.0</v>
      </c>
      <c r="C12" s="2" t="s">
        <v>13</v>
      </c>
      <c r="D12" s="2" t="s">
        <v>307</v>
      </c>
      <c r="E12" s="2" t="s">
        <v>308</v>
      </c>
      <c r="F12" s="2" t="s">
        <v>309</v>
      </c>
      <c r="G12" s="2" t="s">
        <v>310</v>
      </c>
      <c r="H12" s="2" t="s">
        <v>311</v>
      </c>
      <c r="I12" s="2" t="s">
        <v>313</v>
      </c>
      <c r="J12" s="2" t="s">
        <v>41</v>
      </c>
      <c r="K12" s="2" t="s">
        <v>81</v>
      </c>
      <c r="L12" s="2" t="s">
        <v>136</v>
      </c>
      <c r="M12" s="2" t="s">
        <v>43</v>
      </c>
    </row>
    <row r="13">
      <c r="A13" s="3">
        <v>1.0</v>
      </c>
      <c r="B13" s="3">
        <v>12.0</v>
      </c>
      <c r="C13" s="2" t="s">
        <v>316</v>
      </c>
      <c r="D13" s="2" t="s">
        <v>317</v>
      </c>
      <c r="E13" s="2" t="s">
        <v>318</v>
      </c>
      <c r="F13" s="2" t="s">
        <v>319</v>
      </c>
      <c r="G13" s="2" t="s">
        <v>320</v>
      </c>
      <c r="H13" s="2" t="s">
        <v>321</v>
      </c>
      <c r="I13" s="2" t="s">
        <v>322</v>
      </c>
      <c r="J13" s="2" t="s">
        <v>20</v>
      </c>
      <c r="K13" s="2" t="s">
        <v>33</v>
      </c>
      <c r="L13" s="2" t="s">
        <v>136</v>
      </c>
      <c r="M13" s="2" t="s">
        <v>23</v>
      </c>
    </row>
    <row r="14">
      <c r="A14" s="3">
        <v>1.0</v>
      </c>
      <c r="B14" s="3">
        <v>13.0</v>
      </c>
      <c r="C14" s="2" t="s">
        <v>13</v>
      </c>
      <c r="D14" s="4" t="s">
        <v>328</v>
      </c>
      <c r="E14" s="1" t="s">
        <v>159</v>
      </c>
      <c r="F14" s="1" t="s">
        <v>159</v>
      </c>
      <c r="G14" s="1" t="s">
        <v>159</v>
      </c>
      <c r="H14" s="1" t="s">
        <v>159</v>
      </c>
      <c r="I14" s="1" t="s">
        <v>159</v>
      </c>
      <c r="J14" s="1" t="s">
        <v>159</v>
      </c>
      <c r="K14" s="2" t="s">
        <v>329</v>
      </c>
      <c r="L14" s="2" t="s">
        <v>329</v>
      </c>
      <c r="M14" s="2" t="s">
        <v>329</v>
      </c>
    </row>
    <row r="15">
      <c r="A15" s="3">
        <v>1.0</v>
      </c>
      <c r="B15" s="3">
        <v>14.0</v>
      </c>
      <c r="C15" s="2" t="s">
        <v>13</v>
      </c>
      <c r="D15" s="2" t="s">
        <v>331</v>
      </c>
      <c r="E15" s="2" t="s">
        <v>333</v>
      </c>
      <c r="F15" s="1" t="s">
        <v>159</v>
      </c>
      <c r="G15" s="1" t="s">
        <v>159</v>
      </c>
      <c r="H15" s="1" t="s">
        <v>159</v>
      </c>
      <c r="I15" s="1" t="s">
        <v>159</v>
      </c>
      <c r="J15" s="2" t="s">
        <v>26</v>
      </c>
      <c r="K15" s="2" t="s">
        <v>42</v>
      </c>
      <c r="L15" s="2" t="s">
        <v>136</v>
      </c>
      <c r="M15" s="2" t="s">
        <v>92</v>
      </c>
    </row>
    <row r="16">
      <c r="A16" s="3">
        <v>1.0</v>
      </c>
      <c r="B16" s="3">
        <v>15.0</v>
      </c>
      <c r="C16" s="2" t="s">
        <v>13</v>
      </c>
      <c r="D16" s="2" t="s">
        <v>337</v>
      </c>
      <c r="E16" s="2" t="s">
        <v>161</v>
      </c>
      <c r="F16" s="2" t="s">
        <v>338</v>
      </c>
      <c r="G16" s="2" t="s">
        <v>339</v>
      </c>
      <c r="H16" s="2" t="s">
        <v>340</v>
      </c>
      <c r="I16" s="2" t="s">
        <v>342</v>
      </c>
      <c r="J16" s="2" t="s">
        <v>37</v>
      </c>
      <c r="K16" s="2" t="s">
        <v>21</v>
      </c>
      <c r="L16" s="2" t="s">
        <v>166</v>
      </c>
      <c r="M16" s="2" t="s">
        <v>23</v>
      </c>
    </row>
    <row r="17">
      <c r="A17" s="3">
        <v>1.0</v>
      </c>
      <c r="B17" s="3">
        <v>16.0</v>
      </c>
      <c r="C17" s="2" t="s">
        <v>13</v>
      </c>
      <c r="D17" s="2" t="s">
        <v>347</v>
      </c>
      <c r="E17" s="2" t="s">
        <v>161</v>
      </c>
      <c r="F17" s="2" t="s">
        <v>348</v>
      </c>
      <c r="G17" s="2" t="s">
        <v>349</v>
      </c>
      <c r="H17" s="2" t="s">
        <v>350</v>
      </c>
      <c r="I17" s="2" t="s">
        <v>351</v>
      </c>
      <c r="J17" s="2" t="s">
        <v>26</v>
      </c>
      <c r="K17" s="2" t="s">
        <v>33</v>
      </c>
      <c r="L17" s="2" t="s">
        <v>166</v>
      </c>
      <c r="M17" s="2" t="s">
        <v>92</v>
      </c>
    </row>
    <row r="18">
      <c r="A18" s="3">
        <v>1.0</v>
      </c>
      <c r="B18" s="3">
        <v>17.0</v>
      </c>
      <c r="C18" s="2" t="s">
        <v>13</v>
      </c>
      <c r="D18" s="2" t="s">
        <v>354</v>
      </c>
      <c r="E18" s="2" t="s">
        <v>168</v>
      </c>
      <c r="F18" s="2" t="s">
        <v>356</v>
      </c>
      <c r="G18" s="2" t="s">
        <v>358</v>
      </c>
      <c r="H18" s="2" t="s">
        <v>359</v>
      </c>
      <c r="I18" s="2" t="s">
        <v>361</v>
      </c>
      <c r="J18" s="2" t="s">
        <v>26</v>
      </c>
      <c r="K18" s="2" t="s">
        <v>21</v>
      </c>
      <c r="L18" s="2" t="s">
        <v>173</v>
      </c>
      <c r="M18" s="2" t="s">
        <v>92</v>
      </c>
    </row>
    <row r="19">
      <c r="A19" s="3">
        <v>1.0</v>
      </c>
      <c r="B19" s="3">
        <v>18.0</v>
      </c>
      <c r="C19" s="2" t="s">
        <v>13</v>
      </c>
      <c r="D19" s="2" t="s">
        <v>364</v>
      </c>
      <c r="E19" s="2" t="s">
        <v>168</v>
      </c>
      <c r="F19" s="2" t="s">
        <v>365</v>
      </c>
      <c r="G19" s="2" t="s">
        <v>366</v>
      </c>
      <c r="H19" s="2" t="s">
        <v>367</v>
      </c>
      <c r="I19" s="2" t="s">
        <v>369</v>
      </c>
      <c r="J19" s="2" t="s">
        <v>20</v>
      </c>
      <c r="K19" s="2" t="s">
        <v>33</v>
      </c>
      <c r="L19" s="2" t="s">
        <v>184</v>
      </c>
      <c r="M19" s="2" t="s">
        <v>23</v>
      </c>
    </row>
    <row r="20">
      <c r="A20" s="3">
        <v>1.0</v>
      </c>
      <c r="B20" s="3">
        <v>19.0</v>
      </c>
      <c r="C20" s="2" t="s">
        <v>13</v>
      </c>
      <c r="D20" s="2" t="s">
        <v>375</v>
      </c>
      <c r="E20" s="2" t="s">
        <v>168</v>
      </c>
      <c r="F20" s="2" t="s">
        <v>376</v>
      </c>
      <c r="G20" s="2" t="s">
        <v>377</v>
      </c>
      <c r="H20" s="2" t="s">
        <v>378</v>
      </c>
      <c r="I20" s="2" t="s">
        <v>379</v>
      </c>
      <c r="J20" s="2" t="s">
        <v>26</v>
      </c>
      <c r="K20" s="2" t="s">
        <v>21</v>
      </c>
      <c r="L20" s="2" t="s">
        <v>184</v>
      </c>
      <c r="M20" s="2" t="s">
        <v>23</v>
      </c>
    </row>
    <row r="21">
      <c r="A21" s="3">
        <v>1.0</v>
      </c>
      <c r="B21" s="3">
        <v>20.0</v>
      </c>
      <c r="C21" s="2" t="s">
        <v>13</v>
      </c>
      <c r="D21" s="2" t="s">
        <v>382</v>
      </c>
      <c r="E21" s="2" t="s">
        <v>168</v>
      </c>
      <c r="F21" s="2" t="s">
        <v>384</v>
      </c>
      <c r="G21" s="2" t="s">
        <v>386</v>
      </c>
      <c r="H21" s="2" t="s">
        <v>387</v>
      </c>
      <c r="I21" s="2" t="s">
        <v>390</v>
      </c>
      <c r="J21" s="2" t="s">
        <v>41</v>
      </c>
      <c r="K21" s="2" t="s">
        <v>33</v>
      </c>
      <c r="L21" s="2" t="s">
        <v>173</v>
      </c>
      <c r="M21" s="2" t="s">
        <v>23</v>
      </c>
    </row>
    <row r="22">
      <c r="A22" s="3">
        <v>1.0</v>
      </c>
      <c r="B22" s="3">
        <v>21.0</v>
      </c>
      <c r="C22" s="2" t="s">
        <v>13</v>
      </c>
      <c r="D22" s="2" t="s">
        <v>392</v>
      </c>
      <c r="E22" s="2" t="s">
        <v>168</v>
      </c>
      <c r="F22" s="2" t="s">
        <v>393</v>
      </c>
      <c r="G22" s="2" t="s">
        <v>395</v>
      </c>
      <c r="H22" s="2" t="s">
        <v>396</v>
      </c>
      <c r="I22" s="2" t="s">
        <v>398</v>
      </c>
      <c r="J22" s="2" t="s">
        <v>41</v>
      </c>
      <c r="K22" s="2" t="s">
        <v>21</v>
      </c>
      <c r="L22" s="2" t="s">
        <v>173</v>
      </c>
      <c r="M22" s="2" t="s">
        <v>43</v>
      </c>
    </row>
    <row r="23">
      <c r="A23" s="3">
        <v>1.0</v>
      </c>
      <c r="B23" s="3">
        <v>22.0</v>
      </c>
      <c r="C23" s="2" t="s">
        <v>13</v>
      </c>
      <c r="D23" s="2" t="s">
        <v>404</v>
      </c>
      <c r="E23" s="2" t="s">
        <v>168</v>
      </c>
      <c r="F23" s="2" t="s">
        <v>405</v>
      </c>
      <c r="G23" s="2" t="s">
        <v>406</v>
      </c>
      <c r="H23" s="2" t="s">
        <v>407</v>
      </c>
      <c r="I23" s="2" t="s">
        <v>408</v>
      </c>
      <c r="J23" s="2" t="s">
        <v>41</v>
      </c>
      <c r="K23" s="2" t="s">
        <v>21</v>
      </c>
      <c r="L23" s="2" t="s">
        <v>184</v>
      </c>
      <c r="M23" s="2" t="s">
        <v>23</v>
      </c>
    </row>
    <row r="24">
      <c r="A24" s="3">
        <v>1.0</v>
      </c>
      <c r="B24" s="3">
        <v>23.0</v>
      </c>
      <c r="C24" s="2" t="s">
        <v>13</v>
      </c>
      <c r="D24" s="2" t="s">
        <v>414</v>
      </c>
      <c r="E24" s="2" t="s">
        <v>196</v>
      </c>
      <c r="F24" s="2" t="s">
        <v>416</v>
      </c>
      <c r="G24" s="2" t="s">
        <v>417</v>
      </c>
      <c r="H24" s="2" t="s">
        <v>418</v>
      </c>
      <c r="I24" s="2" t="s">
        <v>419</v>
      </c>
      <c r="J24" s="2" t="s">
        <v>41</v>
      </c>
      <c r="K24" s="2" t="s">
        <v>420</v>
      </c>
      <c r="L24" s="2" t="s">
        <v>201</v>
      </c>
      <c r="M24" s="2" t="s">
        <v>43</v>
      </c>
    </row>
    <row r="25">
      <c r="A25" s="3">
        <v>1.0</v>
      </c>
      <c r="B25" s="3">
        <v>24.0</v>
      </c>
      <c r="C25" s="2" t="s">
        <v>13</v>
      </c>
      <c r="D25" s="2" t="s">
        <v>422</v>
      </c>
      <c r="E25" s="2" t="s">
        <v>196</v>
      </c>
      <c r="F25" s="2" t="s">
        <v>423</v>
      </c>
      <c r="G25" s="2" t="s">
        <v>424</v>
      </c>
      <c r="H25" s="1" t="s">
        <v>159</v>
      </c>
      <c r="I25" s="1" t="s">
        <v>159</v>
      </c>
      <c r="J25" s="2" t="s">
        <v>20</v>
      </c>
      <c r="K25" s="2" t="s">
        <v>81</v>
      </c>
      <c r="L25" s="2" t="s">
        <v>201</v>
      </c>
      <c r="M25" s="2" t="s">
        <v>92</v>
      </c>
    </row>
    <row r="26">
      <c r="A26" s="3">
        <v>1.0</v>
      </c>
      <c r="B26" s="3">
        <v>25.0</v>
      </c>
      <c r="C26" s="2" t="s">
        <v>13</v>
      </c>
      <c r="D26" s="2" t="s">
        <v>431</v>
      </c>
      <c r="E26" s="2" t="s">
        <v>432</v>
      </c>
      <c r="F26" s="2" t="s">
        <v>433</v>
      </c>
      <c r="G26" s="2" t="s">
        <v>434</v>
      </c>
      <c r="H26" s="2" t="s">
        <v>436</v>
      </c>
      <c r="I26" s="2" t="s">
        <v>439</v>
      </c>
      <c r="J26" s="2" t="s">
        <v>37</v>
      </c>
      <c r="K26" s="2" t="s">
        <v>81</v>
      </c>
      <c r="L26" s="2" t="s">
        <v>219</v>
      </c>
      <c r="M26" s="2" t="s">
        <v>92</v>
      </c>
    </row>
    <row r="27">
      <c r="A27" s="3">
        <v>1.0</v>
      </c>
      <c r="B27" s="3">
        <v>26.0</v>
      </c>
      <c r="C27" s="2" t="s">
        <v>13</v>
      </c>
      <c r="D27" s="2" t="s">
        <v>444</v>
      </c>
      <c r="E27" s="2" t="s">
        <v>445</v>
      </c>
      <c r="F27" s="2" t="s">
        <v>446</v>
      </c>
      <c r="G27" s="2" t="s">
        <v>447</v>
      </c>
      <c r="H27" s="2" t="s">
        <v>448</v>
      </c>
      <c r="I27" s="2" t="s">
        <v>449</v>
      </c>
      <c r="J27" s="2" t="s">
        <v>26</v>
      </c>
      <c r="K27" s="2" t="s">
        <v>21</v>
      </c>
      <c r="L27" s="2" t="s">
        <v>219</v>
      </c>
      <c r="M27" s="2" t="s">
        <v>92</v>
      </c>
    </row>
    <row r="28">
      <c r="A28" s="3">
        <v>1.0</v>
      </c>
      <c r="B28" s="3">
        <v>27.0</v>
      </c>
      <c r="C28" s="2" t="s">
        <v>13</v>
      </c>
      <c r="D28" s="2" t="s">
        <v>455</v>
      </c>
      <c r="E28" s="2" t="s">
        <v>456</v>
      </c>
      <c r="F28" s="2" t="s">
        <v>457</v>
      </c>
      <c r="G28" s="2" t="s">
        <v>458</v>
      </c>
      <c r="H28" s="2" t="s">
        <v>459</v>
      </c>
      <c r="I28" s="2" t="s">
        <v>460</v>
      </c>
      <c r="J28" s="2" t="s">
        <v>20</v>
      </c>
      <c r="K28" s="2" t="s">
        <v>21</v>
      </c>
      <c r="L28" s="2" t="s">
        <v>219</v>
      </c>
      <c r="M28" s="2" t="s">
        <v>43</v>
      </c>
    </row>
    <row r="29">
      <c r="A29" s="3">
        <v>2.0</v>
      </c>
      <c r="B29" s="3">
        <v>1.0</v>
      </c>
      <c r="C29" s="2" t="s">
        <v>13</v>
      </c>
      <c r="D29" s="2" t="s">
        <v>468</v>
      </c>
      <c r="E29" s="2" t="s">
        <v>471</v>
      </c>
      <c r="F29" s="2" t="s">
        <v>472</v>
      </c>
      <c r="G29" s="2" t="s">
        <v>473</v>
      </c>
      <c r="H29" s="2" t="s">
        <v>244</v>
      </c>
      <c r="I29" s="2" t="s">
        <v>474</v>
      </c>
      <c r="J29" s="2" t="s">
        <v>20</v>
      </c>
      <c r="K29" s="2" t="s">
        <v>42</v>
      </c>
      <c r="L29" s="2" t="s">
        <v>219</v>
      </c>
      <c r="M29" s="2" t="s">
        <v>43</v>
      </c>
    </row>
    <row r="30">
      <c r="A30" s="3">
        <v>2.0</v>
      </c>
      <c r="B30" s="3">
        <v>2.0</v>
      </c>
      <c r="C30" s="2" t="s">
        <v>13</v>
      </c>
      <c r="D30" s="2" t="s">
        <v>475</v>
      </c>
      <c r="E30" s="2" t="s">
        <v>476</v>
      </c>
      <c r="F30" s="2" t="s">
        <v>478</v>
      </c>
      <c r="G30" s="2" t="s">
        <v>479</v>
      </c>
      <c r="H30" s="2" t="s">
        <v>480</v>
      </c>
      <c r="I30" s="2" t="s">
        <v>481</v>
      </c>
      <c r="J30" s="2" t="s">
        <v>41</v>
      </c>
      <c r="K30" s="2" t="s">
        <v>33</v>
      </c>
      <c r="L30" s="2" t="s">
        <v>219</v>
      </c>
      <c r="M30" s="2" t="s">
        <v>92</v>
      </c>
    </row>
    <row r="31">
      <c r="A31" s="3">
        <v>2.0</v>
      </c>
      <c r="B31" s="3">
        <v>3.0</v>
      </c>
      <c r="C31" s="2" t="s">
        <v>13</v>
      </c>
      <c r="D31" s="1" t="s">
        <v>159</v>
      </c>
      <c r="E31" s="2" t="s">
        <v>482</v>
      </c>
      <c r="F31" s="2" t="s">
        <v>483</v>
      </c>
      <c r="G31" s="2" t="s">
        <v>485</v>
      </c>
      <c r="H31" s="2" t="s">
        <v>486</v>
      </c>
      <c r="I31" s="2" t="s">
        <v>488</v>
      </c>
      <c r="J31" s="2" t="s">
        <v>26</v>
      </c>
      <c r="K31" s="2" t="s">
        <v>42</v>
      </c>
      <c r="L31" s="2" t="s">
        <v>22</v>
      </c>
      <c r="M31" s="2" t="s">
        <v>23</v>
      </c>
    </row>
    <row r="32">
      <c r="A32" s="3">
        <v>2.0</v>
      </c>
      <c r="B32" s="3">
        <v>4.0</v>
      </c>
      <c r="C32" s="2" t="s">
        <v>13</v>
      </c>
      <c r="D32" s="2" t="s">
        <v>491</v>
      </c>
      <c r="E32" s="2" t="s">
        <v>15</v>
      </c>
      <c r="F32" s="2" t="s">
        <v>492</v>
      </c>
      <c r="G32" s="2" t="s">
        <v>494</v>
      </c>
      <c r="H32" s="2" t="s">
        <v>495</v>
      </c>
      <c r="I32" s="2" t="s">
        <v>496</v>
      </c>
      <c r="J32" s="2" t="s">
        <v>41</v>
      </c>
      <c r="K32" s="2" t="s">
        <v>33</v>
      </c>
      <c r="L32" s="2" t="s">
        <v>22</v>
      </c>
      <c r="M32" s="2" t="s">
        <v>92</v>
      </c>
    </row>
    <row r="33">
      <c r="A33" s="3">
        <v>2.0</v>
      </c>
      <c r="B33" s="3">
        <v>5.0</v>
      </c>
      <c r="C33" s="2" t="s">
        <v>13</v>
      </c>
      <c r="D33" s="4" t="s">
        <v>502</v>
      </c>
      <c r="E33" s="2" t="s">
        <v>504</v>
      </c>
      <c r="F33" s="2" t="s">
        <v>505</v>
      </c>
      <c r="G33" s="2" t="s">
        <v>506</v>
      </c>
      <c r="H33" s="2" t="s">
        <v>507</v>
      </c>
      <c r="I33" s="2" t="s">
        <v>509</v>
      </c>
      <c r="J33" s="2" t="s">
        <v>20</v>
      </c>
      <c r="K33" s="2" t="s">
        <v>81</v>
      </c>
      <c r="L33" s="2" t="s">
        <v>22</v>
      </c>
      <c r="M33" s="2" t="s">
        <v>43</v>
      </c>
    </row>
    <row r="34">
      <c r="A34" s="3">
        <v>2.0</v>
      </c>
      <c r="B34" s="3">
        <v>6.0</v>
      </c>
      <c r="C34" s="2" t="s">
        <v>13</v>
      </c>
      <c r="D34" s="2" t="s">
        <v>514</v>
      </c>
      <c r="E34" s="2" t="s">
        <v>15</v>
      </c>
      <c r="F34" s="2" t="s">
        <v>515</v>
      </c>
      <c r="G34" s="2" t="s">
        <v>516</v>
      </c>
      <c r="H34" s="2" t="s">
        <v>518</v>
      </c>
      <c r="I34" s="2" t="s">
        <v>519</v>
      </c>
      <c r="J34" s="2" t="s">
        <v>26</v>
      </c>
      <c r="K34" s="2" t="s">
        <v>21</v>
      </c>
      <c r="L34" s="2" t="s">
        <v>22</v>
      </c>
      <c r="M34" s="2" t="s">
        <v>92</v>
      </c>
    </row>
    <row r="35">
      <c r="A35" s="3">
        <v>2.0</v>
      </c>
      <c r="B35" s="3">
        <v>7.0</v>
      </c>
      <c r="C35" s="2" t="s">
        <v>13</v>
      </c>
      <c r="D35" s="6" t="s">
        <v>525</v>
      </c>
      <c r="E35" s="2" t="s">
        <v>117</v>
      </c>
      <c r="F35" s="2" t="s">
        <v>526</v>
      </c>
      <c r="G35" s="2" t="s">
        <v>528</v>
      </c>
      <c r="H35" s="2" t="s">
        <v>529</v>
      </c>
      <c r="I35" s="2" t="s">
        <v>531</v>
      </c>
      <c r="J35" s="2" t="s">
        <v>41</v>
      </c>
      <c r="K35" s="2" t="s">
        <v>21</v>
      </c>
      <c r="L35" s="2" t="s">
        <v>82</v>
      </c>
      <c r="M35" s="2" t="s">
        <v>92</v>
      </c>
    </row>
    <row r="36">
      <c r="A36" s="3">
        <v>2.0</v>
      </c>
      <c r="B36" s="3">
        <v>8.0</v>
      </c>
      <c r="C36" s="2" t="s">
        <v>13</v>
      </c>
      <c r="D36" s="2" t="s">
        <v>536</v>
      </c>
      <c r="E36" s="2" t="s">
        <v>537</v>
      </c>
      <c r="F36" s="2" t="s">
        <v>539</v>
      </c>
      <c r="G36" s="2" t="s">
        <v>540</v>
      </c>
      <c r="H36" s="2" t="s">
        <v>542</v>
      </c>
      <c r="I36" s="2" t="s">
        <v>545</v>
      </c>
      <c r="J36" s="2" t="s">
        <v>37</v>
      </c>
      <c r="K36" s="2" t="s">
        <v>33</v>
      </c>
      <c r="L36" s="2" t="s">
        <v>363</v>
      </c>
      <c r="M36" s="2" t="s">
        <v>92</v>
      </c>
    </row>
    <row r="37">
      <c r="A37" s="3">
        <v>2.0</v>
      </c>
      <c r="B37" s="3">
        <v>9.0</v>
      </c>
      <c r="C37" s="2" t="s">
        <v>13</v>
      </c>
      <c r="D37" s="2" t="s">
        <v>548</v>
      </c>
      <c r="E37" s="2" t="s">
        <v>549</v>
      </c>
      <c r="F37" s="2" t="s">
        <v>551</v>
      </c>
      <c r="G37" s="2" t="s">
        <v>552</v>
      </c>
      <c r="H37" s="2" t="s">
        <v>556</v>
      </c>
      <c r="I37" s="2" t="s">
        <v>557</v>
      </c>
      <c r="J37" s="2" t="s">
        <v>26</v>
      </c>
      <c r="K37" s="2" t="s">
        <v>33</v>
      </c>
      <c r="L37" s="2" t="s">
        <v>363</v>
      </c>
      <c r="M37" s="2" t="s">
        <v>92</v>
      </c>
    </row>
    <row r="38">
      <c r="A38" s="3">
        <v>2.0</v>
      </c>
      <c r="B38" s="3">
        <v>10.0</v>
      </c>
      <c r="C38" s="2" t="s">
        <v>13</v>
      </c>
      <c r="D38" s="2" t="s">
        <v>560</v>
      </c>
      <c r="E38" s="2" t="s">
        <v>563</v>
      </c>
      <c r="F38" s="2" t="s">
        <v>565</v>
      </c>
      <c r="G38" s="2" t="s">
        <v>567</v>
      </c>
      <c r="H38" s="2" t="s">
        <v>568</v>
      </c>
      <c r="I38" s="2" t="s">
        <v>569</v>
      </c>
      <c r="J38" s="2" t="s">
        <v>20</v>
      </c>
      <c r="K38" s="2" t="s">
        <v>21</v>
      </c>
      <c r="L38" s="2" t="s">
        <v>112</v>
      </c>
      <c r="M38" s="2" t="s">
        <v>92</v>
      </c>
    </row>
    <row r="39">
      <c r="A39" s="3">
        <v>2.0</v>
      </c>
      <c r="B39" s="3">
        <v>11.0</v>
      </c>
      <c r="C39" s="2" t="s">
        <v>13</v>
      </c>
      <c r="D39" s="2" t="s">
        <v>572</v>
      </c>
      <c r="E39" s="1" t="s">
        <v>159</v>
      </c>
      <c r="F39" s="1" t="s">
        <v>159</v>
      </c>
      <c r="G39" s="1" t="s">
        <v>159</v>
      </c>
      <c r="H39" s="1" t="s">
        <v>159</v>
      </c>
      <c r="I39" s="1" t="s">
        <v>159</v>
      </c>
      <c r="J39" s="1" t="s">
        <v>159</v>
      </c>
      <c r="K39" s="2" t="s">
        <v>329</v>
      </c>
      <c r="L39" s="2" t="s">
        <v>329</v>
      </c>
      <c r="M39" s="2" t="s">
        <v>329</v>
      </c>
    </row>
    <row r="40">
      <c r="A40" s="3">
        <v>2.0</v>
      </c>
      <c r="B40" s="3">
        <v>12.0</v>
      </c>
      <c r="C40" s="2" t="s">
        <v>13</v>
      </c>
      <c r="D40" s="2" t="s">
        <v>576</v>
      </c>
      <c r="E40" s="2" t="s">
        <v>579</v>
      </c>
      <c r="F40" s="2" t="s">
        <v>581</v>
      </c>
      <c r="G40" s="2" t="s">
        <v>582</v>
      </c>
      <c r="H40" s="2" t="s">
        <v>583</v>
      </c>
      <c r="I40" s="2" t="s">
        <v>584</v>
      </c>
      <c r="J40" s="2" t="s">
        <v>26</v>
      </c>
      <c r="K40" s="2" t="s">
        <v>21</v>
      </c>
      <c r="L40" s="2" t="s">
        <v>112</v>
      </c>
      <c r="M40" s="2" t="s">
        <v>92</v>
      </c>
    </row>
    <row r="41">
      <c r="A41" s="3">
        <v>2.0</v>
      </c>
      <c r="B41" s="3">
        <v>13.0</v>
      </c>
      <c r="C41" s="2" t="s">
        <v>13</v>
      </c>
      <c r="D41" s="2" t="s">
        <v>586</v>
      </c>
      <c r="E41" s="2" t="s">
        <v>587</v>
      </c>
      <c r="F41" s="2" t="s">
        <v>588</v>
      </c>
      <c r="G41" s="2" t="s">
        <v>590</v>
      </c>
      <c r="H41" s="2" t="s">
        <v>591</v>
      </c>
      <c r="I41" s="2" t="s">
        <v>593</v>
      </c>
      <c r="J41" s="2" t="s">
        <v>26</v>
      </c>
      <c r="K41" s="2" t="s">
        <v>21</v>
      </c>
      <c r="L41" s="2" t="s">
        <v>112</v>
      </c>
      <c r="M41" s="2" t="s">
        <v>92</v>
      </c>
    </row>
    <row r="42">
      <c r="A42" s="3">
        <v>2.0</v>
      </c>
      <c r="B42" s="3">
        <v>14.0</v>
      </c>
      <c r="C42" s="2" t="s">
        <v>13</v>
      </c>
      <c r="D42" s="2" t="s">
        <v>597</v>
      </c>
      <c r="E42" s="2" t="s">
        <v>598</v>
      </c>
      <c r="F42" s="2" t="s">
        <v>599</v>
      </c>
      <c r="G42" s="1" t="s">
        <v>159</v>
      </c>
      <c r="H42" s="1" t="s">
        <v>159</v>
      </c>
      <c r="I42" s="1" t="s">
        <v>159</v>
      </c>
      <c r="J42" s="2" t="s">
        <v>20</v>
      </c>
      <c r="K42" s="2" t="s">
        <v>33</v>
      </c>
      <c r="L42" s="2" t="s">
        <v>136</v>
      </c>
      <c r="M42" s="2" t="s">
        <v>92</v>
      </c>
    </row>
    <row r="43">
      <c r="A43" s="3">
        <v>2.0</v>
      </c>
      <c r="B43" s="3">
        <v>15.0</v>
      </c>
      <c r="C43" s="2" t="s">
        <v>13</v>
      </c>
      <c r="D43" s="2" t="s">
        <v>600</v>
      </c>
      <c r="E43" s="2" t="s">
        <v>601</v>
      </c>
      <c r="F43" s="2" t="s">
        <v>602</v>
      </c>
      <c r="G43" s="1" t="s">
        <v>159</v>
      </c>
      <c r="H43" s="1" t="s">
        <v>159</v>
      </c>
      <c r="I43" s="1" t="s">
        <v>159</v>
      </c>
      <c r="J43" s="2" t="s">
        <v>20</v>
      </c>
      <c r="K43" s="2" t="s">
        <v>21</v>
      </c>
      <c r="L43" s="2" t="s">
        <v>136</v>
      </c>
      <c r="M43" s="2" t="s">
        <v>92</v>
      </c>
    </row>
    <row r="44">
      <c r="A44" s="3">
        <v>2.0</v>
      </c>
      <c r="B44" s="3">
        <v>16.0</v>
      </c>
      <c r="C44" s="2" t="s">
        <v>13</v>
      </c>
      <c r="D44" s="2" t="s">
        <v>603</v>
      </c>
      <c r="E44" s="2" t="s">
        <v>161</v>
      </c>
      <c r="F44" s="2" t="s">
        <v>604</v>
      </c>
      <c r="G44" s="2" t="s">
        <v>605</v>
      </c>
      <c r="H44" s="2" t="s">
        <v>606</v>
      </c>
      <c r="I44" s="2" t="s">
        <v>607</v>
      </c>
      <c r="J44" s="2" t="s">
        <v>41</v>
      </c>
      <c r="K44" s="2" t="s">
        <v>33</v>
      </c>
      <c r="L44" s="2" t="s">
        <v>166</v>
      </c>
      <c r="M44" s="2" t="s">
        <v>92</v>
      </c>
    </row>
    <row r="45">
      <c r="A45" s="3">
        <v>2.0</v>
      </c>
      <c r="B45" s="3">
        <v>17.0</v>
      </c>
      <c r="C45" s="2" t="s">
        <v>13</v>
      </c>
      <c r="D45" s="2" t="s">
        <v>608</v>
      </c>
      <c r="E45" s="2" t="s">
        <v>161</v>
      </c>
      <c r="F45" s="2" t="s">
        <v>609</v>
      </c>
      <c r="G45" s="2" t="s">
        <v>610</v>
      </c>
      <c r="H45" s="2" t="s">
        <v>611</v>
      </c>
      <c r="I45" s="2" t="s">
        <v>612</v>
      </c>
      <c r="J45" s="2" t="s">
        <v>41</v>
      </c>
      <c r="K45" s="2" t="s">
        <v>21</v>
      </c>
      <c r="L45" s="2" t="s">
        <v>166</v>
      </c>
      <c r="M45" s="2" t="s">
        <v>92</v>
      </c>
    </row>
    <row r="46">
      <c r="A46" s="3">
        <v>2.0</v>
      </c>
      <c r="B46" s="3">
        <v>18.0</v>
      </c>
      <c r="C46" s="2" t="s">
        <v>13</v>
      </c>
      <c r="D46" s="2" t="s">
        <v>613</v>
      </c>
      <c r="E46" s="2" t="s">
        <v>161</v>
      </c>
      <c r="F46" s="2" t="s">
        <v>614</v>
      </c>
      <c r="G46" s="2" t="s">
        <v>615</v>
      </c>
      <c r="H46" s="2" t="s">
        <v>617</v>
      </c>
      <c r="I46" s="2" t="s">
        <v>618</v>
      </c>
      <c r="J46" s="2" t="s">
        <v>41</v>
      </c>
      <c r="K46" s="2" t="s">
        <v>33</v>
      </c>
      <c r="L46" s="2" t="s">
        <v>166</v>
      </c>
      <c r="M46" s="2" t="s">
        <v>92</v>
      </c>
    </row>
    <row r="47">
      <c r="A47" s="3">
        <v>2.0</v>
      </c>
      <c r="B47" s="3">
        <v>19.0</v>
      </c>
      <c r="C47" s="2" t="s">
        <v>13</v>
      </c>
      <c r="D47" s="2" t="s">
        <v>619</v>
      </c>
      <c r="E47" s="2" t="s">
        <v>168</v>
      </c>
      <c r="F47" s="2" t="s">
        <v>620</v>
      </c>
      <c r="G47" s="2" t="s">
        <v>621</v>
      </c>
      <c r="H47" s="2" t="s">
        <v>622</v>
      </c>
      <c r="I47" s="2" t="s">
        <v>623</v>
      </c>
      <c r="J47" s="2" t="s">
        <v>41</v>
      </c>
      <c r="K47" s="2" t="s">
        <v>33</v>
      </c>
      <c r="L47" s="2" t="s">
        <v>184</v>
      </c>
      <c r="M47" s="2" t="s">
        <v>23</v>
      </c>
    </row>
    <row r="48">
      <c r="A48" s="3">
        <v>2.0</v>
      </c>
      <c r="B48" s="3">
        <v>20.0</v>
      </c>
      <c r="C48" s="2" t="s">
        <v>13</v>
      </c>
      <c r="D48" s="2" t="s">
        <v>624</v>
      </c>
      <c r="E48" s="2" t="s">
        <v>168</v>
      </c>
      <c r="F48" s="2" t="s">
        <v>625</v>
      </c>
      <c r="G48" s="2" t="s">
        <v>626</v>
      </c>
      <c r="H48" s="2" t="s">
        <v>627</v>
      </c>
      <c r="I48" s="2" t="s">
        <v>628</v>
      </c>
      <c r="J48" s="2" t="s">
        <v>41</v>
      </c>
      <c r="K48" s="2" t="s">
        <v>81</v>
      </c>
      <c r="L48" s="2" t="s">
        <v>173</v>
      </c>
      <c r="M48" s="2" t="s">
        <v>92</v>
      </c>
    </row>
    <row r="49">
      <c r="A49" s="3">
        <v>2.0</v>
      </c>
      <c r="B49" s="3">
        <v>21.0</v>
      </c>
      <c r="C49" s="2" t="s">
        <v>13</v>
      </c>
      <c r="D49" s="2" t="s">
        <v>629</v>
      </c>
      <c r="E49" s="2" t="s">
        <v>168</v>
      </c>
      <c r="F49" s="2" t="s">
        <v>630</v>
      </c>
      <c r="G49" s="2" t="s">
        <v>631</v>
      </c>
      <c r="H49" s="2" t="s">
        <v>632</v>
      </c>
      <c r="I49" s="2" t="s">
        <v>633</v>
      </c>
      <c r="J49" s="2" t="s">
        <v>20</v>
      </c>
      <c r="K49" s="2" t="s">
        <v>33</v>
      </c>
      <c r="L49" s="2" t="s">
        <v>173</v>
      </c>
      <c r="M49" s="2" t="s">
        <v>23</v>
      </c>
    </row>
    <row r="50">
      <c r="A50" s="3">
        <v>2.0</v>
      </c>
      <c r="B50" s="3">
        <v>22.0</v>
      </c>
      <c r="C50" s="2" t="s">
        <v>13</v>
      </c>
      <c r="D50" s="2" t="s">
        <v>634</v>
      </c>
      <c r="E50" s="2" t="s">
        <v>168</v>
      </c>
      <c r="F50" s="2" t="s">
        <v>635</v>
      </c>
      <c r="G50" s="2" t="s">
        <v>636</v>
      </c>
      <c r="H50" s="2" t="s">
        <v>637</v>
      </c>
      <c r="I50" s="2" t="s">
        <v>638</v>
      </c>
      <c r="J50" s="2" t="s">
        <v>41</v>
      </c>
      <c r="K50" s="2" t="s">
        <v>21</v>
      </c>
      <c r="L50" s="2" t="s">
        <v>184</v>
      </c>
      <c r="M50" s="2" t="s">
        <v>23</v>
      </c>
    </row>
    <row r="51">
      <c r="A51" s="3">
        <v>2.0</v>
      </c>
      <c r="B51" s="3">
        <v>23.0</v>
      </c>
      <c r="C51" s="2" t="s">
        <v>13</v>
      </c>
      <c r="D51" s="2" t="s">
        <v>639</v>
      </c>
      <c r="E51" s="2" t="s">
        <v>168</v>
      </c>
      <c r="F51" s="2" t="s">
        <v>640</v>
      </c>
      <c r="G51" s="2" t="s">
        <v>384</v>
      </c>
      <c r="H51" s="2" t="s">
        <v>641</v>
      </c>
      <c r="I51" s="2" t="s">
        <v>386</v>
      </c>
      <c r="J51" s="2" t="s">
        <v>26</v>
      </c>
      <c r="K51" s="2" t="s">
        <v>33</v>
      </c>
      <c r="L51" s="2" t="s">
        <v>173</v>
      </c>
      <c r="M51" s="2" t="s">
        <v>92</v>
      </c>
    </row>
    <row r="52">
      <c r="A52" s="3">
        <v>2.0</v>
      </c>
      <c r="B52" s="3">
        <v>24.0</v>
      </c>
      <c r="C52" s="2" t="s">
        <v>13</v>
      </c>
      <c r="D52" s="2" t="s">
        <v>644</v>
      </c>
      <c r="E52" s="2" t="s">
        <v>168</v>
      </c>
      <c r="F52" s="1" t="s">
        <v>159</v>
      </c>
      <c r="G52" s="1" t="s">
        <v>159</v>
      </c>
      <c r="H52" s="1" t="s">
        <v>159</v>
      </c>
      <c r="I52" s="1" t="s">
        <v>159</v>
      </c>
      <c r="J52" s="2" t="s">
        <v>20</v>
      </c>
      <c r="K52" s="2" t="s">
        <v>329</v>
      </c>
      <c r="L52" s="2" t="s">
        <v>329</v>
      </c>
      <c r="M52" s="2" t="s">
        <v>329</v>
      </c>
    </row>
    <row r="53">
      <c r="A53" s="3">
        <v>2.0</v>
      </c>
      <c r="B53" s="3">
        <v>25.0</v>
      </c>
      <c r="C53" s="2" t="s">
        <v>13</v>
      </c>
      <c r="D53" s="2" t="s">
        <v>646</v>
      </c>
      <c r="E53" s="2" t="s">
        <v>196</v>
      </c>
      <c r="F53" s="2" t="s">
        <v>561</v>
      </c>
      <c r="G53" s="2" t="s">
        <v>562</v>
      </c>
      <c r="H53" s="2" t="s">
        <v>566</v>
      </c>
      <c r="I53" s="2" t="s">
        <v>564</v>
      </c>
      <c r="J53" s="2" t="s">
        <v>26</v>
      </c>
      <c r="K53" s="2" t="s">
        <v>33</v>
      </c>
      <c r="L53" s="2" t="s">
        <v>201</v>
      </c>
      <c r="M53" s="2" t="s">
        <v>23</v>
      </c>
    </row>
    <row r="54">
      <c r="A54" s="3">
        <v>2.0</v>
      </c>
      <c r="B54" s="3">
        <v>26.0</v>
      </c>
      <c r="C54" s="2" t="s">
        <v>13</v>
      </c>
      <c r="D54" s="2" t="s">
        <v>647</v>
      </c>
      <c r="E54" s="2" t="s">
        <v>196</v>
      </c>
      <c r="F54" s="2" t="s">
        <v>562</v>
      </c>
      <c r="G54" s="2" t="s">
        <v>203</v>
      </c>
      <c r="H54" s="2" t="s">
        <v>649</v>
      </c>
      <c r="I54" s="2" t="s">
        <v>561</v>
      </c>
      <c r="J54" s="2" t="s">
        <v>20</v>
      </c>
      <c r="K54" s="2" t="s">
        <v>21</v>
      </c>
      <c r="L54" s="2" t="s">
        <v>201</v>
      </c>
      <c r="M54" s="2" t="s">
        <v>23</v>
      </c>
    </row>
    <row r="55">
      <c r="A55" s="3">
        <v>2.0</v>
      </c>
      <c r="B55" s="3">
        <v>27.0</v>
      </c>
      <c r="C55" s="2" t="s">
        <v>13</v>
      </c>
      <c r="D55" s="2" t="s">
        <v>651</v>
      </c>
      <c r="E55" s="2" t="s">
        <v>196</v>
      </c>
      <c r="F55" s="2" t="s">
        <v>198</v>
      </c>
      <c r="G55" s="2" t="s">
        <v>652</v>
      </c>
      <c r="H55" s="2" t="s">
        <v>561</v>
      </c>
      <c r="I55" s="2" t="s">
        <v>653</v>
      </c>
      <c r="J55" s="2" t="s">
        <v>20</v>
      </c>
      <c r="K55" s="2" t="s">
        <v>33</v>
      </c>
      <c r="L55" s="2" t="s">
        <v>201</v>
      </c>
      <c r="M55" s="2" t="s">
        <v>23</v>
      </c>
    </row>
    <row r="56">
      <c r="A56" s="3">
        <v>1.0</v>
      </c>
      <c r="B56" s="3">
        <v>1.0</v>
      </c>
      <c r="C56" s="2" t="s">
        <v>13</v>
      </c>
      <c r="D56" s="2" t="s">
        <v>659</v>
      </c>
      <c r="E56" s="2" t="s">
        <v>196</v>
      </c>
      <c r="F56" s="2" t="s">
        <v>660</v>
      </c>
      <c r="G56" s="2" t="s">
        <v>573</v>
      </c>
      <c r="H56" s="2" t="s">
        <v>661</v>
      </c>
      <c r="I56" s="2" t="s">
        <v>653</v>
      </c>
      <c r="J56" s="2" t="s">
        <v>20</v>
      </c>
      <c r="K56" s="2" t="s">
        <v>662</v>
      </c>
      <c r="L56" s="2" t="s">
        <v>662</v>
      </c>
      <c r="M56" s="2" t="s">
        <v>662</v>
      </c>
    </row>
    <row r="57">
      <c r="A57" s="3">
        <v>1.0</v>
      </c>
      <c r="B57" s="3">
        <v>2.0</v>
      </c>
      <c r="C57" s="2" t="s">
        <v>13</v>
      </c>
      <c r="D57" s="1" t="s">
        <v>159</v>
      </c>
      <c r="E57" s="2" t="s">
        <v>196</v>
      </c>
      <c r="F57" s="2" t="s">
        <v>664</v>
      </c>
      <c r="G57" s="2" t="s">
        <v>197</v>
      </c>
      <c r="H57" s="2" t="s">
        <v>665</v>
      </c>
      <c r="I57" s="2" t="s">
        <v>666</v>
      </c>
      <c r="J57" s="2" t="s">
        <v>26</v>
      </c>
      <c r="K57" s="2" t="s">
        <v>662</v>
      </c>
      <c r="L57" s="2" t="s">
        <v>662</v>
      </c>
      <c r="M57" s="2" t="s">
        <v>662</v>
      </c>
    </row>
    <row r="58">
      <c r="A58" s="3">
        <v>1.0</v>
      </c>
      <c r="B58" s="3">
        <v>3.0</v>
      </c>
      <c r="C58" s="2" t="s">
        <v>13</v>
      </c>
      <c r="D58" s="2" t="s">
        <v>668</v>
      </c>
      <c r="E58" s="2" t="s">
        <v>196</v>
      </c>
      <c r="F58" s="2" t="s">
        <v>564</v>
      </c>
      <c r="G58" s="2" t="s">
        <v>669</v>
      </c>
      <c r="H58" s="2" t="s">
        <v>670</v>
      </c>
      <c r="I58" s="2" t="s">
        <v>671</v>
      </c>
      <c r="J58" s="2" t="s">
        <v>26</v>
      </c>
      <c r="K58" s="2" t="s">
        <v>662</v>
      </c>
      <c r="L58" s="2" t="s">
        <v>662</v>
      </c>
      <c r="M58" s="2" t="s">
        <v>662</v>
      </c>
    </row>
    <row r="59">
      <c r="A59" s="3">
        <v>1.0</v>
      </c>
      <c r="B59" s="3">
        <v>4.0</v>
      </c>
      <c r="C59" s="2" t="s">
        <v>13</v>
      </c>
      <c r="D59" s="2" t="s">
        <v>672</v>
      </c>
      <c r="E59" s="2" t="s">
        <v>673</v>
      </c>
      <c r="F59" s="2" t="s">
        <v>674</v>
      </c>
      <c r="G59" s="2" t="s">
        <v>675</v>
      </c>
      <c r="H59" s="2" t="s">
        <v>676</v>
      </c>
      <c r="I59" s="2" t="s">
        <v>677</v>
      </c>
      <c r="J59" s="2" t="s">
        <v>20</v>
      </c>
      <c r="K59" s="2" t="s">
        <v>662</v>
      </c>
      <c r="L59" s="2" t="s">
        <v>662</v>
      </c>
      <c r="M59" s="2" t="s">
        <v>662</v>
      </c>
    </row>
    <row r="60">
      <c r="A60" s="3">
        <v>1.0</v>
      </c>
      <c r="B60" s="3">
        <v>5.0</v>
      </c>
      <c r="C60" s="2" t="s">
        <v>316</v>
      </c>
      <c r="D60" s="1" t="s">
        <v>159</v>
      </c>
      <c r="E60" s="2" t="s">
        <v>681</v>
      </c>
      <c r="F60" s="1" t="s">
        <v>159</v>
      </c>
      <c r="G60" s="1" t="s">
        <v>159</v>
      </c>
      <c r="H60" s="1" t="s">
        <v>159</v>
      </c>
      <c r="I60" s="1" t="s">
        <v>159</v>
      </c>
      <c r="J60" s="2">
        <v>578.0</v>
      </c>
      <c r="K60" s="2" t="s">
        <v>662</v>
      </c>
      <c r="L60" s="2" t="s">
        <v>662</v>
      </c>
      <c r="M60" s="2" t="s">
        <v>662</v>
      </c>
    </row>
    <row r="61">
      <c r="A61" s="3">
        <v>1.0</v>
      </c>
      <c r="B61" s="3">
        <v>6.0</v>
      </c>
      <c r="C61" s="2" t="s">
        <v>316</v>
      </c>
      <c r="D61" s="2" t="s">
        <v>682</v>
      </c>
      <c r="E61" s="2" t="s">
        <v>683</v>
      </c>
      <c r="F61" s="2" t="s">
        <v>684</v>
      </c>
      <c r="G61" s="2" t="s">
        <v>685</v>
      </c>
      <c r="H61" s="8">
        <v>46026.0</v>
      </c>
      <c r="I61" s="8">
        <v>46213.0</v>
      </c>
      <c r="J61" s="2" t="s">
        <v>26</v>
      </c>
      <c r="K61" s="2" t="s">
        <v>662</v>
      </c>
      <c r="L61" s="2" t="s">
        <v>662</v>
      </c>
      <c r="M61" s="2" t="s">
        <v>662</v>
      </c>
    </row>
    <row r="62">
      <c r="A62" s="3">
        <v>1.0</v>
      </c>
      <c r="B62" s="3">
        <v>7.0</v>
      </c>
      <c r="C62" s="2" t="s">
        <v>316</v>
      </c>
      <c r="D62" s="1" t="s">
        <v>159</v>
      </c>
      <c r="E62" s="2" t="s">
        <v>687</v>
      </c>
      <c r="F62" s="2">
        <v>-3.0</v>
      </c>
      <c r="G62" s="2">
        <v>15.0</v>
      </c>
      <c r="H62" s="2">
        <v>18.0</v>
      </c>
      <c r="I62" s="2">
        <v>21.0</v>
      </c>
      <c r="J62" s="2" t="s">
        <v>26</v>
      </c>
      <c r="K62" s="2" t="s">
        <v>662</v>
      </c>
      <c r="L62" s="2" t="s">
        <v>662</v>
      </c>
      <c r="M62" s="2" t="s">
        <v>662</v>
      </c>
    </row>
    <row r="63">
      <c r="A63" s="3">
        <v>1.0</v>
      </c>
      <c r="B63" s="3">
        <v>8.0</v>
      </c>
      <c r="C63" s="2" t="s">
        <v>316</v>
      </c>
      <c r="D63" s="1" t="s">
        <v>159</v>
      </c>
      <c r="E63" s="2" t="s">
        <v>688</v>
      </c>
      <c r="F63" s="1" t="s">
        <v>159</v>
      </c>
      <c r="G63" s="1" t="s">
        <v>159</v>
      </c>
      <c r="H63" s="1" t="s">
        <v>159</v>
      </c>
      <c r="I63" s="1" t="s">
        <v>159</v>
      </c>
      <c r="J63" s="2">
        <v>654.0</v>
      </c>
      <c r="K63" s="2" t="s">
        <v>662</v>
      </c>
      <c r="L63" s="2" t="s">
        <v>662</v>
      </c>
      <c r="M63" s="2" t="s">
        <v>662</v>
      </c>
    </row>
    <row r="64">
      <c r="A64" s="3">
        <v>1.0</v>
      </c>
      <c r="B64" s="3">
        <v>9.0</v>
      </c>
      <c r="C64" s="2" t="s">
        <v>316</v>
      </c>
      <c r="D64" s="1" t="s">
        <v>159</v>
      </c>
      <c r="E64" s="2" t="s">
        <v>689</v>
      </c>
      <c r="F64" s="1" t="s">
        <v>159</v>
      </c>
      <c r="G64" s="1" t="s">
        <v>159</v>
      </c>
      <c r="H64" s="1" t="s">
        <v>159</v>
      </c>
      <c r="I64" s="1" t="s">
        <v>159</v>
      </c>
      <c r="J64" s="2">
        <v>5900.0</v>
      </c>
      <c r="K64" s="2" t="s">
        <v>662</v>
      </c>
      <c r="L64" s="2" t="s">
        <v>662</v>
      </c>
      <c r="M64" s="2" t="s">
        <v>662</v>
      </c>
    </row>
    <row r="65">
      <c r="A65" s="3">
        <v>1.0</v>
      </c>
      <c r="B65" s="3">
        <v>10.0</v>
      </c>
      <c r="C65" s="2" t="s">
        <v>316</v>
      </c>
      <c r="D65" s="1" t="s">
        <v>159</v>
      </c>
      <c r="E65" s="2" t="s">
        <v>690</v>
      </c>
      <c r="F65" s="1" t="s">
        <v>159</v>
      </c>
      <c r="G65" s="1" t="s">
        <v>159</v>
      </c>
      <c r="H65" s="1" t="s">
        <v>159</v>
      </c>
      <c r="I65" s="1" t="s">
        <v>159</v>
      </c>
      <c r="J65" s="2">
        <v>1.2</v>
      </c>
      <c r="K65" s="2" t="s">
        <v>662</v>
      </c>
      <c r="L65" s="2" t="s">
        <v>662</v>
      </c>
      <c r="M65" s="2" t="s">
        <v>662</v>
      </c>
    </row>
    <row r="66">
      <c r="A66" s="3">
        <v>1.0</v>
      </c>
      <c r="B66" s="3">
        <v>11.0</v>
      </c>
      <c r="C66" s="2" t="s">
        <v>316</v>
      </c>
      <c r="D66" s="1" t="s">
        <v>159</v>
      </c>
      <c r="E66" s="2" t="s">
        <v>692</v>
      </c>
      <c r="F66" s="2">
        <v>64.0</v>
      </c>
      <c r="G66" s="2">
        <v>81.0</v>
      </c>
      <c r="H66" s="2">
        <v>258.0</v>
      </c>
      <c r="I66" s="2">
        <v>384.0</v>
      </c>
      <c r="J66" s="2" t="s">
        <v>41</v>
      </c>
      <c r="K66" s="2" t="s">
        <v>662</v>
      </c>
      <c r="L66" s="2" t="s">
        <v>662</v>
      </c>
      <c r="M66" s="2" t="s">
        <v>662</v>
      </c>
    </row>
    <row r="67">
      <c r="A67" s="3">
        <v>1.0</v>
      </c>
      <c r="B67" s="3">
        <v>12.0</v>
      </c>
      <c r="C67" s="2" t="s">
        <v>316</v>
      </c>
      <c r="D67" s="2" t="s">
        <v>695</v>
      </c>
      <c r="E67" s="2" t="s">
        <v>696</v>
      </c>
      <c r="F67" s="1" t="s">
        <v>159</v>
      </c>
      <c r="G67" s="1" t="s">
        <v>159</v>
      </c>
      <c r="H67" s="1" t="s">
        <v>159</v>
      </c>
      <c r="I67" s="1" t="s">
        <v>159</v>
      </c>
      <c r="J67" s="2" t="s">
        <v>26</v>
      </c>
      <c r="K67" s="2" t="s">
        <v>662</v>
      </c>
      <c r="L67" s="2" t="s">
        <v>662</v>
      </c>
      <c r="M67" s="2" t="s">
        <v>662</v>
      </c>
    </row>
    <row r="68">
      <c r="A68" s="3">
        <v>1.0</v>
      </c>
      <c r="B68" s="3">
        <v>13.0</v>
      </c>
      <c r="C68" s="2" t="s">
        <v>316</v>
      </c>
      <c r="D68" s="1" t="s">
        <v>159</v>
      </c>
      <c r="E68" s="2" t="s">
        <v>698</v>
      </c>
      <c r="F68" s="1" t="s">
        <v>159</v>
      </c>
      <c r="G68" s="1" t="s">
        <v>159</v>
      </c>
      <c r="H68" s="1" t="s">
        <v>159</v>
      </c>
      <c r="I68" s="1" t="s">
        <v>159</v>
      </c>
      <c r="J68" s="2" t="s">
        <v>41</v>
      </c>
      <c r="K68" s="2" t="s">
        <v>662</v>
      </c>
      <c r="L68" s="2" t="s">
        <v>662</v>
      </c>
      <c r="M68" s="2" t="s">
        <v>662</v>
      </c>
    </row>
    <row r="69">
      <c r="A69" s="3">
        <v>1.0</v>
      </c>
      <c r="B69" s="3">
        <v>14.0</v>
      </c>
      <c r="C69" s="2" t="s">
        <v>316</v>
      </c>
      <c r="D69" s="2" t="s">
        <v>699</v>
      </c>
      <c r="E69" s="2" t="s">
        <v>700</v>
      </c>
      <c r="F69" s="1" t="s">
        <v>159</v>
      </c>
      <c r="G69" s="1" t="s">
        <v>159</v>
      </c>
      <c r="H69" s="1" t="s">
        <v>159</v>
      </c>
      <c r="I69" s="1" t="s">
        <v>159</v>
      </c>
      <c r="J69" s="2">
        <v>208.0</v>
      </c>
      <c r="K69" s="2" t="s">
        <v>662</v>
      </c>
      <c r="L69" s="2" t="s">
        <v>662</v>
      </c>
      <c r="M69" s="2" t="s">
        <v>662</v>
      </c>
    </row>
    <row r="70">
      <c r="A70" s="3">
        <v>1.0</v>
      </c>
      <c r="B70" s="3">
        <v>15.0</v>
      </c>
      <c r="C70" s="2" t="s">
        <v>316</v>
      </c>
      <c r="D70" s="2" t="s">
        <v>701</v>
      </c>
      <c r="E70" s="2" t="s">
        <v>702</v>
      </c>
      <c r="F70" s="1" t="s">
        <v>159</v>
      </c>
      <c r="G70" s="1" t="s">
        <v>159</v>
      </c>
      <c r="H70" s="1" t="s">
        <v>159</v>
      </c>
      <c r="I70" s="1" t="s">
        <v>159</v>
      </c>
      <c r="J70" s="2">
        <v>15.0</v>
      </c>
      <c r="K70" s="2" t="s">
        <v>662</v>
      </c>
      <c r="L70" s="2" t="s">
        <v>662</v>
      </c>
      <c r="M70" s="2" t="s">
        <v>662</v>
      </c>
    </row>
    <row r="71">
      <c r="A71" s="3">
        <v>1.0</v>
      </c>
      <c r="B71" s="3">
        <v>16.0</v>
      </c>
      <c r="C71" s="2" t="s">
        <v>316</v>
      </c>
      <c r="D71" s="1" t="s">
        <v>159</v>
      </c>
      <c r="E71" s="2" t="s">
        <v>708</v>
      </c>
      <c r="F71" s="2">
        <v>40.0</v>
      </c>
      <c r="G71" s="2">
        <v>20.0</v>
      </c>
      <c r="H71" s="2">
        <v>10.0</v>
      </c>
      <c r="I71" s="6" t="s">
        <v>709</v>
      </c>
      <c r="J71" s="2" t="s">
        <v>37</v>
      </c>
      <c r="K71" s="2" t="s">
        <v>662</v>
      </c>
      <c r="L71" s="2" t="s">
        <v>662</v>
      </c>
      <c r="M71" s="2" t="s">
        <v>662</v>
      </c>
    </row>
    <row r="72">
      <c r="A72" s="3">
        <v>1.0</v>
      </c>
      <c r="B72" s="3">
        <v>17.0</v>
      </c>
      <c r="C72" s="2" t="s">
        <v>316</v>
      </c>
      <c r="D72" s="1" t="s">
        <v>159</v>
      </c>
      <c r="E72" s="2" t="s">
        <v>710</v>
      </c>
      <c r="F72" s="2" t="s">
        <v>711</v>
      </c>
      <c r="G72" s="8">
        <v>46048.0</v>
      </c>
      <c r="H72" s="2" t="s">
        <v>712</v>
      </c>
      <c r="I72" s="2" t="s">
        <v>713</v>
      </c>
      <c r="J72" s="2" t="s">
        <v>26</v>
      </c>
      <c r="K72" s="2" t="s">
        <v>662</v>
      </c>
      <c r="L72" s="2" t="s">
        <v>662</v>
      </c>
      <c r="M72" s="2" t="s">
        <v>662</v>
      </c>
    </row>
    <row r="73">
      <c r="A73" s="3">
        <v>1.0</v>
      </c>
      <c r="B73" s="3">
        <v>18.0</v>
      </c>
      <c r="C73" s="2" t="s">
        <v>316</v>
      </c>
      <c r="D73" s="2" t="s">
        <v>714</v>
      </c>
      <c r="E73" s="2" t="s">
        <v>715</v>
      </c>
      <c r="F73" s="1" t="s">
        <v>159</v>
      </c>
      <c r="G73" s="1" t="s">
        <v>159</v>
      </c>
      <c r="H73" s="1" t="s">
        <v>159</v>
      </c>
      <c r="I73" s="1" t="s">
        <v>159</v>
      </c>
      <c r="J73" s="2" t="s">
        <v>41</v>
      </c>
      <c r="K73" s="2" t="s">
        <v>662</v>
      </c>
      <c r="L73" s="2" t="s">
        <v>662</v>
      </c>
      <c r="M73" s="2" t="s">
        <v>662</v>
      </c>
    </row>
    <row r="74">
      <c r="A74" s="3">
        <v>1.0</v>
      </c>
      <c r="B74" s="3">
        <v>19.0</v>
      </c>
      <c r="C74" s="2" t="s">
        <v>316</v>
      </c>
      <c r="D74" s="1" t="s">
        <v>159</v>
      </c>
      <c r="E74" s="2" t="s">
        <v>716</v>
      </c>
      <c r="F74" s="2" t="s">
        <v>717</v>
      </c>
      <c r="G74" s="2" t="s">
        <v>718</v>
      </c>
      <c r="H74" s="2" t="s">
        <v>719</v>
      </c>
      <c r="I74" s="2" t="s">
        <v>720</v>
      </c>
      <c r="J74" s="2" t="s">
        <v>37</v>
      </c>
      <c r="K74" s="2" t="s">
        <v>662</v>
      </c>
      <c r="L74" s="2" t="s">
        <v>662</v>
      </c>
      <c r="M74" s="2" t="s">
        <v>662</v>
      </c>
    </row>
    <row r="75">
      <c r="A75" s="3">
        <v>1.0</v>
      </c>
      <c r="B75" s="3">
        <v>20.0</v>
      </c>
      <c r="C75" s="2" t="s">
        <v>316</v>
      </c>
      <c r="D75" s="1" t="s">
        <v>159</v>
      </c>
      <c r="E75" s="6" t="s">
        <v>722</v>
      </c>
      <c r="F75" s="2" t="s">
        <v>723</v>
      </c>
      <c r="G75" s="2" t="s">
        <v>724</v>
      </c>
      <c r="H75" s="2" t="s">
        <v>725</v>
      </c>
      <c r="I75" s="2" t="s">
        <v>726</v>
      </c>
      <c r="J75" s="2" t="s">
        <v>20</v>
      </c>
      <c r="K75" s="2" t="s">
        <v>662</v>
      </c>
      <c r="L75" s="2" t="s">
        <v>662</v>
      </c>
      <c r="M75" s="2" t="s">
        <v>662</v>
      </c>
    </row>
    <row r="76">
      <c r="A76" s="3">
        <v>1.0</v>
      </c>
      <c r="B76" s="3">
        <v>21.0</v>
      </c>
      <c r="C76" s="2" t="s">
        <v>316</v>
      </c>
      <c r="D76" s="1" t="s">
        <v>159</v>
      </c>
      <c r="E76" s="2" t="s">
        <v>728</v>
      </c>
      <c r="F76" s="1" t="s">
        <v>159</v>
      </c>
      <c r="G76" s="1" t="s">
        <v>159</v>
      </c>
      <c r="H76" s="1" t="s">
        <v>159</v>
      </c>
      <c r="I76" s="1" t="s">
        <v>159</v>
      </c>
      <c r="J76" s="2">
        <v>10.0</v>
      </c>
      <c r="K76" s="2" t="s">
        <v>662</v>
      </c>
      <c r="L76" s="2" t="s">
        <v>662</v>
      </c>
      <c r="M76" s="2" t="s">
        <v>662</v>
      </c>
    </row>
    <row r="77">
      <c r="A77" s="3">
        <v>1.0</v>
      </c>
      <c r="B77" s="3">
        <v>22.0</v>
      </c>
      <c r="C77" s="2" t="s">
        <v>316</v>
      </c>
      <c r="D77" s="2" t="s">
        <v>730</v>
      </c>
      <c r="E77" s="2" t="s">
        <v>731</v>
      </c>
      <c r="F77" s="2" t="s">
        <v>732</v>
      </c>
      <c r="G77" s="2" t="s">
        <v>733</v>
      </c>
      <c r="H77" s="2" t="s">
        <v>734</v>
      </c>
      <c r="I77" s="2" t="s">
        <v>735</v>
      </c>
      <c r="J77" s="2" t="s">
        <v>20</v>
      </c>
      <c r="K77" s="2" t="s">
        <v>662</v>
      </c>
      <c r="L77" s="2" t="s">
        <v>662</v>
      </c>
      <c r="M77" s="2" t="s">
        <v>662</v>
      </c>
    </row>
    <row r="78">
      <c r="A78" s="3">
        <v>1.0</v>
      </c>
      <c r="B78" s="3">
        <v>23.0</v>
      </c>
      <c r="C78" s="2" t="s">
        <v>316</v>
      </c>
      <c r="D78" s="2" t="s">
        <v>737</v>
      </c>
      <c r="E78" s="2" t="s">
        <v>739</v>
      </c>
      <c r="F78" s="1" t="s">
        <v>159</v>
      </c>
      <c r="G78" s="1" t="s">
        <v>159</v>
      </c>
      <c r="H78" s="1" t="s">
        <v>159</v>
      </c>
      <c r="I78" s="1" t="s">
        <v>159</v>
      </c>
      <c r="J78" s="2" t="s">
        <v>26</v>
      </c>
      <c r="K78" s="2" t="s">
        <v>662</v>
      </c>
      <c r="L78" s="2" t="s">
        <v>662</v>
      </c>
      <c r="M78" s="2" t="s">
        <v>662</v>
      </c>
    </row>
    <row r="79">
      <c r="A79" s="3">
        <v>1.0</v>
      </c>
      <c r="B79" s="3">
        <v>24.0</v>
      </c>
      <c r="C79" s="2" t="s">
        <v>316</v>
      </c>
      <c r="D79" s="2" t="s">
        <v>740</v>
      </c>
      <c r="E79" s="2" t="s">
        <v>741</v>
      </c>
      <c r="F79" s="2">
        <v>1.0</v>
      </c>
      <c r="G79" s="2">
        <v>9.0</v>
      </c>
      <c r="H79" s="2">
        <v>15.0</v>
      </c>
      <c r="I79" s="2">
        <v>21.0</v>
      </c>
      <c r="J79" s="2" t="s">
        <v>26</v>
      </c>
      <c r="K79" s="2" t="s">
        <v>662</v>
      </c>
      <c r="L79" s="2" t="s">
        <v>662</v>
      </c>
      <c r="M79" s="2" t="s">
        <v>662</v>
      </c>
    </row>
    <row r="80">
      <c r="A80" s="3">
        <v>1.0</v>
      </c>
      <c r="B80" s="3">
        <v>25.0</v>
      </c>
      <c r="C80" s="2" t="s">
        <v>316</v>
      </c>
      <c r="D80" s="1" t="s">
        <v>159</v>
      </c>
      <c r="E80" s="2" t="s">
        <v>743</v>
      </c>
      <c r="F80" s="1" t="s">
        <v>159</v>
      </c>
      <c r="G80" s="1" t="s">
        <v>159</v>
      </c>
      <c r="H80" s="1" t="s">
        <v>159</v>
      </c>
      <c r="I80" s="1" t="s">
        <v>159</v>
      </c>
      <c r="J80" s="2">
        <v>271.6</v>
      </c>
      <c r="K80" s="2" t="s">
        <v>662</v>
      </c>
      <c r="L80" s="2" t="s">
        <v>662</v>
      </c>
      <c r="M80" s="2" t="s">
        <v>662</v>
      </c>
    </row>
    <row r="81">
      <c r="A81" s="3">
        <v>1.0</v>
      </c>
      <c r="B81" s="3">
        <v>26.0</v>
      </c>
      <c r="C81" s="2" t="s">
        <v>316</v>
      </c>
      <c r="D81" s="2" t="s">
        <v>745</v>
      </c>
      <c r="E81" s="2" t="s">
        <v>747</v>
      </c>
      <c r="F81" s="1" t="s">
        <v>159</v>
      </c>
      <c r="G81" s="1" t="s">
        <v>159</v>
      </c>
      <c r="H81" s="1" t="s">
        <v>159</v>
      </c>
      <c r="I81" s="1" t="s">
        <v>159</v>
      </c>
      <c r="J81" s="1" t="s">
        <v>159</v>
      </c>
      <c r="K81" s="2" t="s">
        <v>662</v>
      </c>
      <c r="L81" s="2" t="s">
        <v>662</v>
      </c>
      <c r="M81" s="2" t="s">
        <v>662</v>
      </c>
    </row>
    <row r="82">
      <c r="A82" s="3">
        <v>1.0</v>
      </c>
      <c r="B82" s="3">
        <v>27.0</v>
      </c>
      <c r="C82" s="2" t="s">
        <v>316</v>
      </c>
      <c r="D82" s="1" t="s">
        <v>159</v>
      </c>
      <c r="E82" s="2" t="s">
        <v>748</v>
      </c>
      <c r="F82" s="1" t="s">
        <v>159</v>
      </c>
      <c r="G82" s="1" t="s">
        <v>159</v>
      </c>
      <c r="H82" s="1" t="s">
        <v>159</v>
      </c>
      <c r="I82" s="1" t="s">
        <v>159</v>
      </c>
      <c r="J82" s="2" t="s">
        <v>20</v>
      </c>
      <c r="K82" s="2" t="s">
        <v>662</v>
      </c>
      <c r="L82" s="2" t="s">
        <v>662</v>
      </c>
      <c r="M82" s="2" t="s">
        <v>662</v>
      </c>
    </row>
    <row r="83">
      <c r="A83" s="3">
        <v>2.0</v>
      </c>
      <c r="B83" s="3">
        <v>1.0</v>
      </c>
      <c r="C83" s="2" t="s">
        <v>316</v>
      </c>
      <c r="D83" s="2" t="s">
        <v>749</v>
      </c>
      <c r="E83" s="2" t="s">
        <v>750</v>
      </c>
      <c r="F83" s="2" t="s">
        <v>751</v>
      </c>
      <c r="G83" s="2" t="s">
        <v>752</v>
      </c>
      <c r="H83" s="2" t="s">
        <v>753</v>
      </c>
      <c r="I83" s="2" t="s">
        <v>754</v>
      </c>
      <c r="J83" s="2" t="s">
        <v>37</v>
      </c>
      <c r="K83" s="2" t="s">
        <v>662</v>
      </c>
      <c r="L83" s="2" t="s">
        <v>662</v>
      </c>
      <c r="M83" s="2" t="s">
        <v>662</v>
      </c>
    </row>
    <row r="84">
      <c r="A84" s="3">
        <v>2.0</v>
      </c>
      <c r="B84" s="3">
        <v>2.0</v>
      </c>
      <c r="C84" s="2" t="s">
        <v>316</v>
      </c>
      <c r="D84" s="1" t="s">
        <v>159</v>
      </c>
      <c r="E84" s="2" t="s">
        <v>755</v>
      </c>
      <c r="F84" s="2">
        <v>3.0</v>
      </c>
      <c r="G84" s="2">
        <v>7.0</v>
      </c>
      <c r="H84" s="2">
        <v>32.0</v>
      </c>
      <c r="I84" s="2">
        <v>40.0</v>
      </c>
      <c r="J84" s="2" t="s">
        <v>26</v>
      </c>
      <c r="K84" s="2" t="s">
        <v>662</v>
      </c>
      <c r="L84" s="2" t="s">
        <v>662</v>
      </c>
      <c r="M84" s="2" t="s">
        <v>662</v>
      </c>
    </row>
    <row r="85">
      <c r="A85" s="3">
        <v>2.0</v>
      </c>
      <c r="B85" s="3">
        <v>3.0</v>
      </c>
      <c r="C85" s="2" t="s">
        <v>316</v>
      </c>
      <c r="D85" s="2" t="s">
        <v>757</v>
      </c>
      <c r="E85" s="2" t="s">
        <v>758</v>
      </c>
      <c r="F85" s="2">
        <v>39.17</v>
      </c>
      <c r="G85" s="2">
        <v>48.0</v>
      </c>
      <c r="H85" s="2">
        <v>52.22</v>
      </c>
      <c r="I85" s="2">
        <v>72.33</v>
      </c>
      <c r="J85" s="2" t="s">
        <v>41</v>
      </c>
      <c r="K85" s="2" t="s">
        <v>662</v>
      </c>
      <c r="L85" s="2" t="s">
        <v>662</v>
      </c>
      <c r="M85" s="2" t="s">
        <v>662</v>
      </c>
    </row>
    <row r="86">
      <c r="A86" s="3">
        <v>2.0</v>
      </c>
      <c r="B86" s="3">
        <v>4.0</v>
      </c>
      <c r="C86" s="2" t="s">
        <v>316</v>
      </c>
      <c r="D86" s="1" t="s">
        <v>159</v>
      </c>
      <c r="E86" s="2" t="s">
        <v>759</v>
      </c>
      <c r="F86" s="1" t="s">
        <v>159</v>
      </c>
      <c r="G86" s="1" t="s">
        <v>159</v>
      </c>
      <c r="H86" s="1" t="s">
        <v>159</v>
      </c>
      <c r="I86" s="1" t="s">
        <v>159</v>
      </c>
      <c r="J86" s="2" t="s">
        <v>26</v>
      </c>
      <c r="K86" s="2" t="s">
        <v>662</v>
      </c>
      <c r="L86" s="2" t="s">
        <v>662</v>
      </c>
      <c r="M86" s="2" t="s">
        <v>662</v>
      </c>
    </row>
    <row r="87">
      <c r="A87" s="3">
        <v>2.0</v>
      </c>
      <c r="B87" s="3">
        <v>5.0</v>
      </c>
      <c r="C87" s="2" t="s">
        <v>316</v>
      </c>
      <c r="D87" s="1" t="s">
        <v>159</v>
      </c>
      <c r="E87" s="2" t="s">
        <v>760</v>
      </c>
      <c r="F87" s="1" t="s">
        <v>159</v>
      </c>
      <c r="G87" s="1" t="s">
        <v>159</v>
      </c>
      <c r="H87" s="1" t="s">
        <v>159</v>
      </c>
      <c r="I87" s="1" t="s">
        <v>159</v>
      </c>
      <c r="J87" s="2">
        <v>52.0</v>
      </c>
      <c r="K87" s="2" t="s">
        <v>662</v>
      </c>
      <c r="L87" s="2" t="s">
        <v>662</v>
      </c>
      <c r="M87" s="2" t="s">
        <v>662</v>
      </c>
    </row>
    <row r="88">
      <c r="A88" s="3">
        <v>2.0</v>
      </c>
      <c r="B88" s="3">
        <v>6.0</v>
      </c>
      <c r="C88" s="2" t="s">
        <v>316</v>
      </c>
      <c r="D88" s="6" t="s">
        <v>761</v>
      </c>
      <c r="E88" s="2" t="s">
        <v>762</v>
      </c>
      <c r="F88" s="2">
        <v>34.0</v>
      </c>
      <c r="G88" s="2">
        <v>16.0</v>
      </c>
      <c r="H88" s="2">
        <v>15.0</v>
      </c>
      <c r="I88" s="2">
        <v>8.0</v>
      </c>
      <c r="J88" s="2" t="s">
        <v>20</v>
      </c>
      <c r="K88" s="2" t="s">
        <v>662</v>
      </c>
      <c r="L88" s="2" t="s">
        <v>662</v>
      </c>
      <c r="M88" s="2" t="s">
        <v>662</v>
      </c>
    </row>
    <row r="89">
      <c r="A89" s="3">
        <v>2.0</v>
      </c>
      <c r="B89" s="3">
        <v>7.0</v>
      </c>
      <c r="C89" s="2" t="s">
        <v>316</v>
      </c>
      <c r="D89" s="1" t="s">
        <v>159</v>
      </c>
      <c r="E89" s="2" t="s">
        <v>763</v>
      </c>
      <c r="F89" s="2">
        <v>9.0</v>
      </c>
      <c r="G89" s="2">
        <v>7.0</v>
      </c>
      <c r="H89" s="2">
        <v>5.0</v>
      </c>
      <c r="I89" s="2">
        <v>1.0</v>
      </c>
      <c r="J89" s="2" t="s">
        <v>20</v>
      </c>
      <c r="K89" s="2" t="s">
        <v>662</v>
      </c>
      <c r="L89" s="2" t="s">
        <v>662</v>
      </c>
      <c r="M89" s="2" t="s">
        <v>662</v>
      </c>
    </row>
    <row r="90">
      <c r="A90" s="3">
        <v>2.0</v>
      </c>
      <c r="B90" s="3">
        <v>8.0</v>
      </c>
      <c r="C90" s="2" t="s">
        <v>316</v>
      </c>
      <c r="D90" s="1" t="s">
        <v>159</v>
      </c>
      <c r="E90" s="6" t="s">
        <v>764</v>
      </c>
      <c r="F90" s="8">
        <v>46227.0</v>
      </c>
      <c r="G90" s="2" t="s">
        <v>765</v>
      </c>
      <c r="H90" s="2">
        <v>17.0</v>
      </c>
      <c r="I90" s="2">
        <v>31.0</v>
      </c>
      <c r="J90" s="2" t="s">
        <v>41</v>
      </c>
      <c r="K90" s="2" t="s">
        <v>662</v>
      </c>
      <c r="L90" s="2" t="s">
        <v>662</v>
      </c>
      <c r="M90" s="2" t="s">
        <v>662</v>
      </c>
    </row>
    <row r="91">
      <c r="A91" s="3">
        <v>2.0</v>
      </c>
      <c r="B91" s="3">
        <v>9.0</v>
      </c>
      <c r="C91" s="2" t="s">
        <v>316</v>
      </c>
      <c r="D91" s="2" t="s">
        <v>766</v>
      </c>
      <c r="E91" s="1" t="s">
        <v>159</v>
      </c>
      <c r="F91" s="1" t="s">
        <v>159</v>
      </c>
      <c r="G91" s="1" t="s">
        <v>159</v>
      </c>
      <c r="H91" s="1" t="s">
        <v>159</v>
      </c>
      <c r="I91" s="1" t="s">
        <v>159</v>
      </c>
      <c r="J91" s="2">
        <v>11.0</v>
      </c>
      <c r="K91" s="2" t="s">
        <v>662</v>
      </c>
      <c r="L91" s="2" t="s">
        <v>662</v>
      </c>
      <c r="M91" s="2" t="s">
        <v>662</v>
      </c>
    </row>
    <row r="92">
      <c r="A92" s="3">
        <v>2.0</v>
      </c>
      <c r="B92" s="3">
        <v>10.0</v>
      </c>
      <c r="C92" s="2" t="s">
        <v>316</v>
      </c>
      <c r="D92" s="2" t="s">
        <v>771</v>
      </c>
      <c r="E92" s="2" t="s">
        <v>747</v>
      </c>
      <c r="F92" s="2" t="s">
        <v>772</v>
      </c>
      <c r="G92" s="2" t="s">
        <v>773</v>
      </c>
      <c r="H92" s="2" t="s">
        <v>774</v>
      </c>
      <c r="I92" s="2" t="s">
        <v>775</v>
      </c>
      <c r="J92" s="2" t="s">
        <v>26</v>
      </c>
      <c r="K92" s="2" t="s">
        <v>662</v>
      </c>
      <c r="L92" s="2" t="s">
        <v>662</v>
      </c>
      <c r="M92" s="2" t="s">
        <v>662</v>
      </c>
    </row>
    <row r="93">
      <c r="A93" s="3">
        <v>2.0</v>
      </c>
      <c r="B93" s="3">
        <v>11.0</v>
      </c>
      <c r="C93" s="2" t="s">
        <v>316</v>
      </c>
      <c r="D93" s="1" t="s">
        <v>159</v>
      </c>
      <c r="E93" s="2" t="s">
        <v>776</v>
      </c>
      <c r="F93" s="1" t="s">
        <v>159</v>
      </c>
      <c r="G93" s="1" t="s">
        <v>159</v>
      </c>
      <c r="H93" s="1" t="s">
        <v>159</v>
      </c>
      <c r="I93" s="1" t="s">
        <v>159</v>
      </c>
      <c r="J93" s="2" t="s">
        <v>20</v>
      </c>
      <c r="K93" s="2" t="s">
        <v>662</v>
      </c>
      <c r="L93" s="2" t="s">
        <v>662</v>
      </c>
      <c r="M93" s="2" t="s">
        <v>662</v>
      </c>
    </row>
    <row r="94">
      <c r="A94" s="3">
        <v>2.0</v>
      </c>
      <c r="B94" s="3">
        <v>12.0</v>
      </c>
      <c r="C94" s="2" t="s">
        <v>316</v>
      </c>
      <c r="D94" s="1" t="s">
        <v>159</v>
      </c>
      <c r="E94" s="2" t="s">
        <v>777</v>
      </c>
      <c r="F94" s="2" t="s">
        <v>778</v>
      </c>
      <c r="G94" s="2" t="s">
        <v>779</v>
      </c>
      <c r="H94" s="2" t="s">
        <v>780</v>
      </c>
      <c r="I94" s="2" t="s">
        <v>781</v>
      </c>
      <c r="J94" s="2" t="s">
        <v>20</v>
      </c>
      <c r="K94" s="2" t="s">
        <v>662</v>
      </c>
      <c r="L94" s="2" t="s">
        <v>662</v>
      </c>
      <c r="M94" s="2" t="s">
        <v>662</v>
      </c>
    </row>
    <row r="95">
      <c r="A95" s="3">
        <v>2.0</v>
      </c>
      <c r="B95" s="3">
        <v>13.0</v>
      </c>
      <c r="C95" s="2" t="s">
        <v>316</v>
      </c>
      <c r="D95" s="1" t="s">
        <v>159</v>
      </c>
      <c r="E95" s="2" t="s">
        <v>783</v>
      </c>
      <c r="F95" s="2">
        <v>5.0</v>
      </c>
      <c r="G95" s="2">
        <v>4.0</v>
      </c>
      <c r="H95" s="2">
        <v>0.0</v>
      </c>
      <c r="I95" s="2">
        <v>-4.0</v>
      </c>
      <c r="J95" s="2" t="s">
        <v>26</v>
      </c>
      <c r="K95" s="2" t="s">
        <v>662</v>
      </c>
      <c r="L95" s="2" t="s">
        <v>662</v>
      </c>
      <c r="M95" s="2" t="s">
        <v>662</v>
      </c>
    </row>
    <row r="96">
      <c r="A96" s="3">
        <v>2.0</v>
      </c>
      <c r="B96" s="3">
        <v>14.0</v>
      </c>
      <c r="C96" s="2" t="s">
        <v>316</v>
      </c>
      <c r="D96" s="2" t="s">
        <v>785</v>
      </c>
      <c r="E96" s="2" t="s">
        <v>786</v>
      </c>
      <c r="F96" s="1" t="s">
        <v>159</v>
      </c>
      <c r="G96" s="1" t="s">
        <v>159</v>
      </c>
      <c r="H96" s="1" t="s">
        <v>159</v>
      </c>
      <c r="I96" s="1" t="s">
        <v>159</v>
      </c>
      <c r="J96" s="2" t="s">
        <v>26</v>
      </c>
      <c r="K96" s="2" t="s">
        <v>662</v>
      </c>
      <c r="L96" s="2" t="s">
        <v>662</v>
      </c>
      <c r="M96" s="2" t="s">
        <v>662</v>
      </c>
    </row>
    <row r="97">
      <c r="A97" s="3">
        <v>2.0</v>
      </c>
      <c r="B97" s="3">
        <v>15.0</v>
      </c>
      <c r="C97" s="2" t="s">
        <v>316</v>
      </c>
      <c r="D97" s="1" t="s">
        <v>159</v>
      </c>
      <c r="E97" s="6" t="s">
        <v>787</v>
      </c>
      <c r="F97" s="1" t="s">
        <v>159</v>
      </c>
      <c r="G97" s="1" t="s">
        <v>159</v>
      </c>
      <c r="H97" s="1" t="s">
        <v>159</v>
      </c>
      <c r="I97" s="1" t="s">
        <v>159</v>
      </c>
      <c r="J97" s="2" t="s">
        <v>788</v>
      </c>
      <c r="K97" s="2" t="s">
        <v>662</v>
      </c>
      <c r="L97" s="2" t="s">
        <v>662</v>
      </c>
      <c r="M97" s="2" t="s">
        <v>662</v>
      </c>
    </row>
    <row r="98">
      <c r="A98" s="3">
        <v>2.0</v>
      </c>
      <c r="B98" s="3">
        <v>16.0</v>
      </c>
      <c r="C98" s="2" t="s">
        <v>316</v>
      </c>
      <c r="D98" s="2" t="s">
        <v>789</v>
      </c>
      <c r="E98" s="2" t="s">
        <v>790</v>
      </c>
      <c r="F98" s="1" t="s">
        <v>159</v>
      </c>
      <c r="G98" s="1" t="s">
        <v>159</v>
      </c>
      <c r="H98" s="1" t="s">
        <v>159</v>
      </c>
      <c r="I98" s="1" t="s">
        <v>159</v>
      </c>
      <c r="J98" s="2" t="s">
        <v>37</v>
      </c>
      <c r="K98" s="2" t="s">
        <v>662</v>
      </c>
      <c r="L98" s="2" t="s">
        <v>662</v>
      </c>
      <c r="M98" s="2" t="s">
        <v>662</v>
      </c>
    </row>
    <row r="99">
      <c r="A99" s="3">
        <v>2.0</v>
      </c>
      <c r="B99" s="3">
        <v>17.0</v>
      </c>
      <c r="C99" s="2" t="s">
        <v>316</v>
      </c>
      <c r="D99" s="2" t="s">
        <v>792</v>
      </c>
      <c r="E99" s="2" t="s">
        <v>793</v>
      </c>
      <c r="F99" s="2" t="s">
        <v>794</v>
      </c>
      <c r="G99" s="2" t="s">
        <v>795</v>
      </c>
      <c r="H99" s="2" t="s">
        <v>796</v>
      </c>
      <c r="I99" s="2" t="s">
        <v>797</v>
      </c>
      <c r="J99" s="2" t="s">
        <v>37</v>
      </c>
      <c r="K99" s="2" t="s">
        <v>662</v>
      </c>
      <c r="L99" s="2" t="s">
        <v>662</v>
      </c>
      <c r="M99" s="2" t="s">
        <v>662</v>
      </c>
    </row>
    <row r="100">
      <c r="A100" s="3">
        <v>2.0</v>
      </c>
      <c r="B100" s="3">
        <v>18.0</v>
      </c>
      <c r="C100" s="2" t="s">
        <v>316</v>
      </c>
      <c r="D100" s="2" t="s">
        <v>799</v>
      </c>
      <c r="E100" s="2" t="s">
        <v>800</v>
      </c>
      <c r="F100" s="2" t="s">
        <v>801</v>
      </c>
      <c r="G100" s="2" t="s">
        <v>802</v>
      </c>
      <c r="H100" s="2" t="s">
        <v>803</v>
      </c>
      <c r="I100" s="2" t="s">
        <v>804</v>
      </c>
      <c r="J100" s="2" t="s">
        <v>26</v>
      </c>
      <c r="K100" s="2" t="s">
        <v>662</v>
      </c>
      <c r="L100" s="2" t="s">
        <v>662</v>
      </c>
      <c r="M100" s="2" t="s">
        <v>662</v>
      </c>
    </row>
    <row r="101">
      <c r="A101" s="3">
        <v>2.0</v>
      </c>
      <c r="B101" s="3">
        <v>19.0</v>
      </c>
      <c r="C101" s="2" t="s">
        <v>316</v>
      </c>
      <c r="D101" s="1" t="s">
        <v>159</v>
      </c>
      <c r="E101" s="2" t="s">
        <v>807</v>
      </c>
      <c r="F101" s="9">
        <v>1.1483</v>
      </c>
      <c r="G101" s="9">
        <v>1.3783</v>
      </c>
      <c r="H101" s="9">
        <v>1.56</v>
      </c>
      <c r="I101" s="9">
        <v>2.4317</v>
      </c>
      <c r="J101" s="2" t="s">
        <v>26</v>
      </c>
      <c r="K101" s="2" t="s">
        <v>662</v>
      </c>
      <c r="L101" s="2" t="s">
        <v>662</v>
      </c>
      <c r="M101" s="2" t="s">
        <v>662</v>
      </c>
    </row>
    <row r="102">
      <c r="A102" s="3">
        <v>2.0</v>
      </c>
      <c r="B102" s="3">
        <v>20.0</v>
      </c>
      <c r="C102" s="2" t="s">
        <v>316</v>
      </c>
      <c r="D102" s="6" t="s">
        <v>812</v>
      </c>
      <c r="E102" s="10" t="s">
        <v>813</v>
      </c>
      <c r="F102" s="1" t="s">
        <v>159</v>
      </c>
      <c r="G102" s="1" t="s">
        <v>159</v>
      </c>
      <c r="H102" s="1" t="s">
        <v>159</v>
      </c>
      <c r="I102" s="1" t="s">
        <v>159</v>
      </c>
      <c r="J102" s="2">
        <v>8.0</v>
      </c>
      <c r="K102" s="2" t="s">
        <v>662</v>
      </c>
      <c r="L102" s="2" t="s">
        <v>662</v>
      </c>
      <c r="M102" s="2" t="s">
        <v>662</v>
      </c>
    </row>
    <row r="103">
      <c r="A103" s="3">
        <v>2.0</v>
      </c>
      <c r="B103" s="3">
        <v>21.0</v>
      </c>
      <c r="C103" s="2" t="s">
        <v>316</v>
      </c>
      <c r="D103" s="2" t="s">
        <v>814</v>
      </c>
      <c r="E103" s="10" t="s">
        <v>815</v>
      </c>
      <c r="F103" s="2">
        <v>-23.0</v>
      </c>
      <c r="G103" s="2">
        <v>13.0</v>
      </c>
      <c r="H103" s="1" t="s">
        <v>159</v>
      </c>
      <c r="I103" s="1" t="s">
        <v>159</v>
      </c>
      <c r="J103" s="2" t="s">
        <v>41</v>
      </c>
      <c r="K103" s="2" t="s">
        <v>662</v>
      </c>
      <c r="L103" s="2" t="s">
        <v>662</v>
      </c>
      <c r="M103" s="2" t="s">
        <v>662</v>
      </c>
    </row>
    <row r="104">
      <c r="A104" s="3">
        <v>2.0</v>
      </c>
      <c r="B104" s="3">
        <v>22.0</v>
      </c>
      <c r="C104" s="2" t="s">
        <v>316</v>
      </c>
      <c r="D104" s="2" t="s">
        <v>819</v>
      </c>
      <c r="E104" s="1" t="s">
        <v>159</v>
      </c>
      <c r="F104" s="1" t="s">
        <v>159</v>
      </c>
      <c r="G104" s="1" t="s">
        <v>159</v>
      </c>
      <c r="H104" s="1" t="s">
        <v>159</v>
      </c>
      <c r="I104" s="1" t="s">
        <v>159</v>
      </c>
      <c r="J104" s="2">
        <v>275.0</v>
      </c>
      <c r="K104" s="2" t="s">
        <v>662</v>
      </c>
      <c r="L104" s="2" t="s">
        <v>662</v>
      </c>
      <c r="M104" s="2" t="s">
        <v>662</v>
      </c>
    </row>
    <row r="105">
      <c r="A105" s="3">
        <v>2.0</v>
      </c>
      <c r="B105" s="3">
        <v>23.0</v>
      </c>
      <c r="C105" s="2" t="s">
        <v>316</v>
      </c>
      <c r="D105" s="1" t="s">
        <v>159</v>
      </c>
      <c r="E105" s="2" t="s">
        <v>822</v>
      </c>
      <c r="F105" s="2" t="s">
        <v>823</v>
      </c>
      <c r="G105" s="2" t="s">
        <v>824</v>
      </c>
      <c r="H105" s="2" t="s">
        <v>825</v>
      </c>
      <c r="I105" s="2" t="s">
        <v>826</v>
      </c>
      <c r="J105" s="2" t="s">
        <v>41</v>
      </c>
      <c r="K105" s="2" t="s">
        <v>662</v>
      </c>
      <c r="L105" s="2" t="s">
        <v>662</v>
      </c>
      <c r="M105" s="2" t="s">
        <v>662</v>
      </c>
    </row>
    <row r="106">
      <c r="A106" s="3">
        <v>2.0</v>
      </c>
      <c r="B106" s="3">
        <v>24.0</v>
      </c>
      <c r="C106" s="2" t="s">
        <v>13</v>
      </c>
      <c r="D106" s="1" t="s">
        <v>159</v>
      </c>
      <c r="E106" s="2" t="s">
        <v>828</v>
      </c>
      <c r="F106" s="2" t="s">
        <v>829</v>
      </c>
      <c r="G106" s="2" t="s">
        <v>829</v>
      </c>
      <c r="H106" s="2" t="s">
        <v>829</v>
      </c>
      <c r="I106" s="2" t="s">
        <v>829</v>
      </c>
      <c r="J106" s="2" t="s">
        <v>26</v>
      </c>
      <c r="K106" s="2" t="s">
        <v>662</v>
      </c>
      <c r="L106" s="2" t="s">
        <v>662</v>
      </c>
      <c r="M106" s="2" t="s">
        <v>662</v>
      </c>
    </row>
    <row r="107">
      <c r="A107" s="3">
        <v>2.0</v>
      </c>
      <c r="B107" s="3">
        <v>25.0</v>
      </c>
      <c r="C107" s="2" t="s">
        <v>13</v>
      </c>
      <c r="D107" s="1" t="s">
        <v>159</v>
      </c>
      <c r="E107" s="2" t="s">
        <v>831</v>
      </c>
      <c r="F107" s="2" t="s">
        <v>829</v>
      </c>
      <c r="G107" s="2" t="s">
        <v>829</v>
      </c>
      <c r="H107" s="2" t="s">
        <v>829</v>
      </c>
      <c r="I107" s="2" t="s">
        <v>829</v>
      </c>
      <c r="J107" s="2" t="s">
        <v>41</v>
      </c>
      <c r="K107" s="2" t="s">
        <v>662</v>
      </c>
      <c r="L107" s="2" t="s">
        <v>662</v>
      </c>
      <c r="M107" s="2" t="s">
        <v>662</v>
      </c>
    </row>
    <row r="108">
      <c r="A108" s="3">
        <v>2.0</v>
      </c>
      <c r="B108" s="3">
        <v>26.0</v>
      </c>
      <c r="C108" s="2" t="s">
        <v>13</v>
      </c>
      <c r="D108" s="1" t="s">
        <v>159</v>
      </c>
      <c r="E108" s="2" t="s">
        <v>833</v>
      </c>
      <c r="F108" s="2" t="s">
        <v>829</v>
      </c>
      <c r="G108" s="2" t="s">
        <v>829</v>
      </c>
      <c r="H108" s="2" t="s">
        <v>829</v>
      </c>
      <c r="I108" s="2" t="s">
        <v>829</v>
      </c>
      <c r="J108" s="2" t="s">
        <v>20</v>
      </c>
      <c r="K108" s="2" t="s">
        <v>662</v>
      </c>
      <c r="L108" s="2" t="s">
        <v>662</v>
      </c>
      <c r="M108" s="2" t="s">
        <v>662</v>
      </c>
    </row>
    <row r="109">
      <c r="A109" s="3">
        <v>2.0</v>
      </c>
      <c r="B109" s="3">
        <v>27.0</v>
      </c>
      <c r="C109" s="2" t="s">
        <v>13</v>
      </c>
      <c r="D109" s="1" t="s">
        <v>159</v>
      </c>
      <c r="E109" s="2" t="s">
        <v>836</v>
      </c>
      <c r="F109" s="2" t="s">
        <v>829</v>
      </c>
      <c r="G109" s="2" t="s">
        <v>829</v>
      </c>
      <c r="H109" s="2" t="s">
        <v>829</v>
      </c>
      <c r="I109" s="2" t="s">
        <v>829</v>
      </c>
      <c r="J109" s="2" t="s">
        <v>26</v>
      </c>
      <c r="K109" s="2" t="s">
        <v>662</v>
      </c>
      <c r="L109" s="2" t="s">
        <v>662</v>
      </c>
      <c r="M109" s="2" t="s">
        <v>662</v>
      </c>
    </row>
    <row r="110">
      <c r="C110" s="2" t="s">
        <v>13</v>
      </c>
      <c r="D110" s="1" t="s">
        <v>159</v>
      </c>
      <c r="E110" s="2" t="s">
        <v>837</v>
      </c>
      <c r="F110" s="2" t="s">
        <v>829</v>
      </c>
      <c r="G110" s="2" t="s">
        <v>829</v>
      </c>
      <c r="H110" s="2" t="s">
        <v>829</v>
      </c>
      <c r="I110" s="2" t="s">
        <v>829</v>
      </c>
      <c r="J110" s="2" t="s">
        <v>41</v>
      </c>
      <c r="K110" s="2" t="s">
        <v>662</v>
      </c>
      <c r="L110" s="2" t="s">
        <v>662</v>
      </c>
      <c r="M110" s="2" t="s">
        <v>662</v>
      </c>
    </row>
    <row r="111">
      <c r="C111" s="2" t="s">
        <v>13</v>
      </c>
      <c r="D111" s="1" t="s">
        <v>159</v>
      </c>
      <c r="E111" s="2" t="s">
        <v>838</v>
      </c>
      <c r="F111" s="2" t="s">
        <v>829</v>
      </c>
      <c r="G111" s="2" t="s">
        <v>829</v>
      </c>
      <c r="H111" s="2" t="s">
        <v>829</v>
      </c>
      <c r="I111" s="2" t="s">
        <v>829</v>
      </c>
      <c r="J111" s="2" t="s">
        <v>37</v>
      </c>
      <c r="K111" s="2" t="s">
        <v>662</v>
      </c>
      <c r="L111" s="2" t="s">
        <v>662</v>
      </c>
      <c r="M111" s="2" t="s">
        <v>662</v>
      </c>
    </row>
    <row r="112">
      <c r="C112" s="2" t="s">
        <v>13</v>
      </c>
      <c r="D112" s="1" t="s">
        <v>159</v>
      </c>
      <c r="E112" s="2" t="s">
        <v>839</v>
      </c>
      <c r="F112" s="2" t="s">
        <v>829</v>
      </c>
      <c r="G112" s="2" t="s">
        <v>829</v>
      </c>
      <c r="H112" s="2" t="s">
        <v>829</v>
      </c>
      <c r="I112" s="2" t="s">
        <v>829</v>
      </c>
      <c r="J112" s="2" t="s">
        <v>41</v>
      </c>
      <c r="K112" s="2" t="s">
        <v>662</v>
      </c>
      <c r="L112" s="2" t="s">
        <v>662</v>
      </c>
      <c r="M112" s="2" t="s">
        <v>662</v>
      </c>
    </row>
    <row r="113">
      <c r="C113" s="2" t="s">
        <v>13</v>
      </c>
      <c r="D113" s="1" t="s">
        <v>159</v>
      </c>
      <c r="E113" s="2" t="s">
        <v>841</v>
      </c>
      <c r="F113" s="2" t="s">
        <v>829</v>
      </c>
      <c r="G113" s="2" t="s">
        <v>829</v>
      </c>
      <c r="H113" s="2" t="s">
        <v>829</v>
      </c>
      <c r="I113" s="2" t="s">
        <v>829</v>
      </c>
      <c r="J113" s="2" t="s">
        <v>20</v>
      </c>
      <c r="K113" s="2" t="s">
        <v>662</v>
      </c>
      <c r="L113" s="2" t="s">
        <v>662</v>
      </c>
      <c r="M113" s="2" t="s">
        <v>662</v>
      </c>
    </row>
    <row r="114">
      <c r="C114" s="2" t="s">
        <v>13</v>
      </c>
      <c r="D114" s="1" t="s">
        <v>159</v>
      </c>
      <c r="E114" s="2" t="s">
        <v>843</v>
      </c>
      <c r="F114" s="2" t="s">
        <v>829</v>
      </c>
      <c r="G114" s="2" t="s">
        <v>829</v>
      </c>
      <c r="H114" s="2" t="s">
        <v>829</v>
      </c>
      <c r="I114" s="2" t="s">
        <v>829</v>
      </c>
      <c r="J114" s="2" t="s">
        <v>20</v>
      </c>
      <c r="K114" s="2" t="s">
        <v>662</v>
      </c>
      <c r="L114" s="2" t="s">
        <v>662</v>
      </c>
      <c r="M114" s="2" t="s">
        <v>662</v>
      </c>
    </row>
    <row r="115">
      <c r="C115" s="2" t="s">
        <v>13</v>
      </c>
      <c r="D115" s="1" t="s">
        <v>159</v>
      </c>
      <c r="E115" s="2" t="s">
        <v>846</v>
      </c>
      <c r="F115" s="2" t="s">
        <v>829</v>
      </c>
      <c r="G115" s="2" t="s">
        <v>829</v>
      </c>
      <c r="H115" s="2" t="s">
        <v>829</v>
      </c>
      <c r="I115" s="2" t="s">
        <v>829</v>
      </c>
      <c r="J115" s="2" t="s">
        <v>26</v>
      </c>
      <c r="K115" s="2" t="s">
        <v>662</v>
      </c>
      <c r="L115" s="2" t="s">
        <v>662</v>
      </c>
      <c r="M115" s="2" t="s">
        <v>662</v>
      </c>
    </row>
    <row r="116">
      <c r="C116" s="2" t="s">
        <v>13</v>
      </c>
      <c r="D116" s="1" t="s">
        <v>159</v>
      </c>
      <c r="E116" s="2" t="s">
        <v>852</v>
      </c>
      <c r="F116" s="2" t="s">
        <v>829</v>
      </c>
      <c r="G116" s="2" t="s">
        <v>829</v>
      </c>
      <c r="H116" s="2" t="s">
        <v>829</v>
      </c>
      <c r="I116" s="2" t="s">
        <v>829</v>
      </c>
      <c r="J116" s="2" t="s">
        <v>26</v>
      </c>
      <c r="K116" s="2" t="s">
        <v>662</v>
      </c>
      <c r="L116" s="2" t="s">
        <v>662</v>
      </c>
      <c r="M116" s="2" t="s">
        <v>662</v>
      </c>
    </row>
    <row r="117">
      <c r="C117" s="2" t="s">
        <v>13</v>
      </c>
      <c r="D117" s="1" t="s">
        <v>159</v>
      </c>
      <c r="E117" s="2" t="s">
        <v>855</v>
      </c>
      <c r="F117" s="2" t="s">
        <v>829</v>
      </c>
      <c r="G117" s="2" t="s">
        <v>829</v>
      </c>
      <c r="H117" s="2" t="s">
        <v>829</v>
      </c>
      <c r="I117" s="2" t="s">
        <v>829</v>
      </c>
      <c r="J117" s="2" t="s">
        <v>37</v>
      </c>
      <c r="K117" s="2" t="s">
        <v>662</v>
      </c>
      <c r="L117" s="2" t="s">
        <v>662</v>
      </c>
      <c r="M117" s="2" t="s">
        <v>662</v>
      </c>
    </row>
    <row r="118">
      <c r="C118" s="2" t="s">
        <v>13</v>
      </c>
      <c r="D118" s="1" t="s">
        <v>159</v>
      </c>
      <c r="E118" s="2" t="s">
        <v>856</v>
      </c>
      <c r="F118" s="2" t="s">
        <v>829</v>
      </c>
      <c r="G118" s="2" t="s">
        <v>829</v>
      </c>
      <c r="H118" s="2" t="s">
        <v>829</v>
      </c>
      <c r="I118" s="2" t="s">
        <v>829</v>
      </c>
      <c r="J118" s="2" t="s">
        <v>41</v>
      </c>
      <c r="K118" s="2" t="s">
        <v>662</v>
      </c>
      <c r="L118" s="2" t="s">
        <v>662</v>
      </c>
      <c r="M118" s="2" t="s">
        <v>662</v>
      </c>
    </row>
    <row r="119">
      <c r="C119" s="2" t="s">
        <v>13</v>
      </c>
      <c r="D119" s="1" t="s">
        <v>159</v>
      </c>
      <c r="E119" s="2" t="s">
        <v>857</v>
      </c>
      <c r="F119" s="2" t="s">
        <v>829</v>
      </c>
      <c r="G119" s="2" t="s">
        <v>829</v>
      </c>
      <c r="H119" s="2" t="s">
        <v>829</v>
      </c>
      <c r="I119" s="2" t="s">
        <v>829</v>
      </c>
      <c r="J119" s="2" t="s">
        <v>41</v>
      </c>
      <c r="K119" s="2" t="s">
        <v>662</v>
      </c>
      <c r="L119" s="2" t="s">
        <v>662</v>
      </c>
      <c r="M119" s="2" t="s">
        <v>662</v>
      </c>
    </row>
    <row r="120">
      <c r="C120" s="2" t="s">
        <v>13</v>
      </c>
      <c r="D120" s="1" t="s">
        <v>159</v>
      </c>
      <c r="E120" s="2" t="s">
        <v>859</v>
      </c>
      <c r="F120" s="2" t="s">
        <v>829</v>
      </c>
      <c r="G120" s="2" t="s">
        <v>829</v>
      </c>
      <c r="H120" s="2" t="s">
        <v>829</v>
      </c>
      <c r="I120" s="2" t="s">
        <v>829</v>
      </c>
      <c r="J120" s="2" t="s">
        <v>41</v>
      </c>
      <c r="K120" s="2" t="s">
        <v>662</v>
      </c>
      <c r="L120" s="2" t="s">
        <v>662</v>
      </c>
      <c r="M120" s="2" t="s">
        <v>662</v>
      </c>
    </row>
    <row r="121">
      <c r="C121" s="2" t="s">
        <v>13</v>
      </c>
      <c r="D121" s="1" t="s">
        <v>159</v>
      </c>
      <c r="E121" s="2" t="s">
        <v>861</v>
      </c>
      <c r="F121" s="2" t="s">
        <v>829</v>
      </c>
      <c r="G121" s="2" t="s">
        <v>829</v>
      </c>
      <c r="H121" s="2" t="s">
        <v>829</v>
      </c>
      <c r="I121" s="2" t="s">
        <v>829</v>
      </c>
      <c r="J121" s="2" t="s">
        <v>41</v>
      </c>
      <c r="K121" s="2" t="s">
        <v>662</v>
      </c>
      <c r="L121" s="2" t="s">
        <v>662</v>
      </c>
      <c r="M121" s="2" t="s">
        <v>662</v>
      </c>
    </row>
    <row r="122">
      <c r="C122" s="2" t="s">
        <v>13</v>
      </c>
      <c r="D122" s="1" t="s">
        <v>159</v>
      </c>
      <c r="E122" s="2" t="s">
        <v>862</v>
      </c>
      <c r="F122" s="2" t="s">
        <v>829</v>
      </c>
      <c r="G122" s="2" t="s">
        <v>829</v>
      </c>
      <c r="H122" s="2" t="s">
        <v>829</v>
      </c>
      <c r="I122" s="2" t="s">
        <v>829</v>
      </c>
      <c r="J122" s="2" t="s">
        <v>41</v>
      </c>
      <c r="K122" s="2" t="s">
        <v>662</v>
      </c>
      <c r="L122" s="2" t="s">
        <v>662</v>
      </c>
      <c r="M122" s="2" t="s">
        <v>662</v>
      </c>
    </row>
    <row r="123">
      <c r="C123" s="2" t="s">
        <v>13</v>
      </c>
      <c r="D123" s="1" t="s">
        <v>159</v>
      </c>
      <c r="E123" s="2" t="s">
        <v>864</v>
      </c>
      <c r="F123" s="2" t="s">
        <v>829</v>
      </c>
      <c r="G123" s="2" t="s">
        <v>829</v>
      </c>
      <c r="H123" s="2" t="s">
        <v>829</v>
      </c>
      <c r="I123" s="2" t="s">
        <v>829</v>
      </c>
      <c r="J123" s="2" t="s">
        <v>26</v>
      </c>
      <c r="K123" s="2" t="s">
        <v>662</v>
      </c>
      <c r="L123" s="2" t="s">
        <v>662</v>
      </c>
      <c r="M123" s="2" t="s">
        <v>662</v>
      </c>
    </row>
    <row r="124">
      <c r="C124" s="2" t="s">
        <v>13</v>
      </c>
      <c r="D124" s="1" t="s">
        <v>159</v>
      </c>
      <c r="E124" s="2" t="s">
        <v>866</v>
      </c>
      <c r="F124" s="2" t="s">
        <v>829</v>
      </c>
      <c r="G124" s="2" t="s">
        <v>829</v>
      </c>
      <c r="H124" s="2" t="s">
        <v>829</v>
      </c>
      <c r="I124" s="2" t="s">
        <v>829</v>
      </c>
      <c r="J124" s="2" t="s">
        <v>20</v>
      </c>
      <c r="K124" s="2" t="s">
        <v>662</v>
      </c>
      <c r="L124" s="2" t="s">
        <v>662</v>
      </c>
      <c r="M124" s="2" t="s">
        <v>662</v>
      </c>
    </row>
    <row r="125">
      <c r="C125" s="2" t="s">
        <v>13</v>
      </c>
      <c r="D125" s="1" t="s">
        <v>159</v>
      </c>
      <c r="E125" s="2" t="s">
        <v>868</v>
      </c>
      <c r="F125" s="2" t="s">
        <v>829</v>
      </c>
      <c r="G125" s="2" t="s">
        <v>829</v>
      </c>
      <c r="H125" s="2" t="s">
        <v>829</v>
      </c>
      <c r="I125" s="2" t="s">
        <v>829</v>
      </c>
      <c r="J125" s="2" t="s">
        <v>20</v>
      </c>
      <c r="K125" s="2" t="s">
        <v>662</v>
      </c>
      <c r="L125" s="2" t="s">
        <v>662</v>
      </c>
      <c r="M125" s="2" t="s">
        <v>662</v>
      </c>
    </row>
    <row r="126">
      <c r="C126" s="2" t="s">
        <v>13</v>
      </c>
      <c r="D126" s="1" t="s">
        <v>159</v>
      </c>
      <c r="E126" s="2" t="s">
        <v>870</v>
      </c>
      <c r="F126" s="2" t="s">
        <v>829</v>
      </c>
      <c r="G126" s="2" t="s">
        <v>829</v>
      </c>
      <c r="H126" s="2" t="s">
        <v>829</v>
      </c>
      <c r="I126" s="2" t="s">
        <v>829</v>
      </c>
      <c r="J126" s="2" t="s">
        <v>37</v>
      </c>
      <c r="K126" s="2" t="s">
        <v>662</v>
      </c>
      <c r="L126" s="2" t="s">
        <v>662</v>
      </c>
      <c r="M126" s="2" t="s">
        <v>662</v>
      </c>
    </row>
    <row r="127">
      <c r="C127" s="2" t="s">
        <v>13</v>
      </c>
      <c r="D127" s="1" t="s">
        <v>159</v>
      </c>
      <c r="E127" s="2" t="s">
        <v>872</v>
      </c>
      <c r="F127" s="2" t="s">
        <v>829</v>
      </c>
      <c r="G127" s="2" t="s">
        <v>829</v>
      </c>
      <c r="H127" s="2" t="s">
        <v>829</v>
      </c>
      <c r="I127" s="2" t="s">
        <v>829</v>
      </c>
      <c r="J127" s="2" t="s">
        <v>26</v>
      </c>
      <c r="K127" s="2" t="s">
        <v>662</v>
      </c>
      <c r="L127" s="2" t="s">
        <v>662</v>
      </c>
      <c r="M127" s="2" t="s">
        <v>662</v>
      </c>
    </row>
    <row r="128">
      <c r="C128" s="2" t="s">
        <v>13</v>
      </c>
      <c r="D128" s="1" t="s">
        <v>159</v>
      </c>
      <c r="E128" s="2" t="s">
        <v>874</v>
      </c>
      <c r="F128" s="2" t="s">
        <v>829</v>
      </c>
      <c r="G128" s="2" t="s">
        <v>829</v>
      </c>
      <c r="H128" s="2" t="s">
        <v>829</v>
      </c>
      <c r="I128" s="2" t="s">
        <v>829</v>
      </c>
      <c r="J128" s="2" t="s">
        <v>20</v>
      </c>
      <c r="K128" s="2" t="s">
        <v>662</v>
      </c>
      <c r="L128" s="2" t="s">
        <v>662</v>
      </c>
      <c r="M128" s="2" t="s">
        <v>662</v>
      </c>
    </row>
    <row r="129">
      <c r="C129" s="2" t="s">
        <v>13</v>
      </c>
      <c r="D129" s="1" t="s">
        <v>159</v>
      </c>
      <c r="E129" s="2" t="s">
        <v>876</v>
      </c>
      <c r="F129" s="2" t="s">
        <v>829</v>
      </c>
      <c r="G129" s="2" t="s">
        <v>829</v>
      </c>
      <c r="H129" s="2" t="s">
        <v>829</v>
      </c>
      <c r="I129" s="2" t="s">
        <v>829</v>
      </c>
      <c r="J129" s="2" t="s">
        <v>20</v>
      </c>
      <c r="K129" s="2" t="s">
        <v>662</v>
      </c>
      <c r="L129" s="2" t="s">
        <v>662</v>
      </c>
      <c r="M129" s="2" t="s">
        <v>662</v>
      </c>
    </row>
    <row r="130">
      <c r="C130" s="2" t="s">
        <v>13</v>
      </c>
      <c r="D130" s="1" t="s">
        <v>159</v>
      </c>
      <c r="E130" s="2" t="s">
        <v>878</v>
      </c>
      <c r="F130" s="2" t="s">
        <v>829</v>
      </c>
      <c r="G130" s="2" t="s">
        <v>829</v>
      </c>
      <c r="H130" s="2" t="s">
        <v>829</v>
      </c>
      <c r="I130" s="2" t="s">
        <v>829</v>
      </c>
      <c r="J130" s="2" t="s">
        <v>41</v>
      </c>
      <c r="K130" s="2" t="s">
        <v>662</v>
      </c>
      <c r="L130" s="2" t="s">
        <v>662</v>
      </c>
      <c r="M130" s="2" t="s">
        <v>662</v>
      </c>
    </row>
    <row r="131">
      <c r="C131" s="2" t="s">
        <v>13</v>
      </c>
      <c r="D131" s="1" t="s">
        <v>159</v>
      </c>
      <c r="E131" s="2" t="s">
        <v>884</v>
      </c>
      <c r="F131" s="2" t="s">
        <v>829</v>
      </c>
      <c r="G131" s="2" t="s">
        <v>829</v>
      </c>
      <c r="H131" s="2" t="s">
        <v>829</v>
      </c>
      <c r="I131" s="2" t="s">
        <v>829</v>
      </c>
      <c r="J131" s="2" t="s">
        <v>41</v>
      </c>
      <c r="K131" s="2" t="s">
        <v>662</v>
      </c>
      <c r="L131" s="2" t="s">
        <v>662</v>
      </c>
      <c r="M131" s="2" t="s">
        <v>662</v>
      </c>
    </row>
    <row r="132">
      <c r="C132" s="2" t="s">
        <v>13</v>
      </c>
      <c r="D132" s="1" t="s">
        <v>159</v>
      </c>
      <c r="E132" s="2" t="s">
        <v>888</v>
      </c>
      <c r="F132" s="2" t="s">
        <v>829</v>
      </c>
      <c r="G132" s="2" t="s">
        <v>829</v>
      </c>
      <c r="H132" s="2" t="s">
        <v>829</v>
      </c>
      <c r="I132" s="2" t="s">
        <v>829</v>
      </c>
      <c r="J132" s="2" t="s">
        <v>20</v>
      </c>
      <c r="K132" s="2" t="s">
        <v>662</v>
      </c>
      <c r="L132" s="2" t="s">
        <v>662</v>
      </c>
      <c r="M132" s="2" t="s">
        <v>662</v>
      </c>
    </row>
    <row r="133">
      <c r="C133" s="2" t="s">
        <v>316</v>
      </c>
      <c r="D133" s="1" t="s">
        <v>159</v>
      </c>
      <c r="E133" s="2" t="s">
        <v>828</v>
      </c>
      <c r="F133" s="1" t="s">
        <v>159</v>
      </c>
      <c r="G133" s="1" t="s">
        <v>159</v>
      </c>
      <c r="H133" s="1" t="s">
        <v>159</v>
      </c>
      <c r="I133" s="1" t="s">
        <v>159</v>
      </c>
      <c r="J133" s="2">
        <v>560.0</v>
      </c>
      <c r="K133" s="2" t="s">
        <v>662</v>
      </c>
      <c r="L133" s="2" t="s">
        <v>662</v>
      </c>
      <c r="M133" s="2" t="s">
        <v>662</v>
      </c>
    </row>
    <row r="134">
      <c r="C134" s="2" t="s">
        <v>316</v>
      </c>
      <c r="D134" s="1" t="s">
        <v>159</v>
      </c>
      <c r="E134" s="2" t="s">
        <v>831</v>
      </c>
      <c r="F134" s="2" t="s">
        <v>829</v>
      </c>
      <c r="G134" s="2" t="s">
        <v>829</v>
      </c>
      <c r="H134" s="2" t="s">
        <v>829</v>
      </c>
      <c r="I134" s="2" t="s">
        <v>829</v>
      </c>
      <c r="J134" s="2" t="s">
        <v>26</v>
      </c>
      <c r="K134" s="2" t="s">
        <v>662</v>
      </c>
      <c r="L134" s="2" t="s">
        <v>662</v>
      </c>
      <c r="M134" s="2" t="s">
        <v>662</v>
      </c>
    </row>
    <row r="135">
      <c r="C135" s="2" t="s">
        <v>316</v>
      </c>
      <c r="D135" s="1" t="s">
        <v>159</v>
      </c>
      <c r="E135" s="2" t="s">
        <v>833</v>
      </c>
      <c r="F135" s="2" t="s">
        <v>829</v>
      </c>
      <c r="G135" s="2" t="s">
        <v>829</v>
      </c>
      <c r="H135" s="2" t="s">
        <v>829</v>
      </c>
      <c r="I135" s="2" t="s">
        <v>829</v>
      </c>
      <c r="J135" s="2" t="s">
        <v>26</v>
      </c>
      <c r="K135" s="2" t="s">
        <v>662</v>
      </c>
      <c r="L135" s="2" t="s">
        <v>662</v>
      </c>
      <c r="M135" s="2" t="s">
        <v>662</v>
      </c>
    </row>
    <row r="136">
      <c r="C136" s="2" t="s">
        <v>316</v>
      </c>
      <c r="D136" s="1" t="s">
        <v>159</v>
      </c>
      <c r="E136" s="2" t="s">
        <v>836</v>
      </c>
      <c r="F136" s="2" t="s">
        <v>829</v>
      </c>
      <c r="G136" s="2" t="s">
        <v>829</v>
      </c>
      <c r="H136" s="2" t="s">
        <v>829</v>
      </c>
      <c r="I136" s="2" t="s">
        <v>829</v>
      </c>
      <c r="J136" s="2" t="s">
        <v>26</v>
      </c>
      <c r="K136" s="2" t="s">
        <v>662</v>
      </c>
      <c r="L136" s="2" t="s">
        <v>662</v>
      </c>
      <c r="M136" s="2" t="s">
        <v>662</v>
      </c>
    </row>
    <row r="137">
      <c r="C137" s="2" t="s">
        <v>316</v>
      </c>
      <c r="D137" s="1" t="s">
        <v>159</v>
      </c>
      <c r="E137" s="2" t="s">
        <v>837</v>
      </c>
      <c r="F137" s="1" t="s">
        <v>159</v>
      </c>
      <c r="G137" s="1" t="s">
        <v>159</v>
      </c>
      <c r="H137" s="1" t="s">
        <v>159</v>
      </c>
      <c r="I137" s="1" t="s">
        <v>159</v>
      </c>
      <c r="J137" s="2">
        <v>5900.0</v>
      </c>
      <c r="K137" s="2" t="s">
        <v>662</v>
      </c>
      <c r="L137" s="2" t="s">
        <v>662</v>
      </c>
      <c r="M137" s="2" t="s">
        <v>662</v>
      </c>
    </row>
    <row r="138">
      <c r="C138" s="2" t="s">
        <v>316</v>
      </c>
      <c r="D138" s="1" t="s">
        <v>159</v>
      </c>
      <c r="E138" s="2" t="s">
        <v>838</v>
      </c>
      <c r="F138" s="1" t="s">
        <v>159</v>
      </c>
      <c r="G138" s="1" t="s">
        <v>159</v>
      </c>
      <c r="H138" s="1" t="s">
        <v>159</v>
      </c>
      <c r="I138" s="1" t="s">
        <v>159</v>
      </c>
      <c r="J138" s="2">
        <v>1.2</v>
      </c>
      <c r="K138" s="2" t="s">
        <v>662</v>
      </c>
      <c r="L138" s="2" t="s">
        <v>662</v>
      </c>
      <c r="M138" s="2" t="s">
        <v>662</v>
      </c>
    </row>
    <row r="139">
      <c r="C139" s="2" t="s">
        <v>316</v>
      </c>
      <c r="D139" s="1" t="s">
        <v>159</v>
      </c>
      <c r="E139" s="2" t="s">
        <v>839</v>
      </c>
      <c r="F139" s="1" t="s">
        <v>159</v>
      </c>
      <c r="G139" s="1" t="s">
        <v>159</v>
      </c>
      <c r="H139" s="1" t="s">
        <v>159</v>
      </c>
      <c r="I139" s="1" t="s">
        <v>159</v>
      </c>
      <c r="J139" s="2" t="s">
        <v>37</v>
      </c>
      <c r="K139" s="2" t="s">
        <v>662</v>
      </c>
      <c r="L139" s="2" t="s">
        <v>662</v>
      </c>
      <c r="M139" s="2" t="s">
        <v>662</v>
      </c>
    </row>
    <row r="140">
      <c r="C140" s="2" t="s">
        <v>316</v>
      </c>
      <c r="D140" s="1" t="s">
        <v>159</v>
      </c>
      <c r="E140" s="2" t="s">
        <v>841</v>
      </c>
      <c r="F140" s="1" t="s">
        <v>159</v>
      </c>
      <c r="G140" s="1" t="s">
        <v>159</v>
      </c>
      <c r="H140" s="1" t="s">
        <v>159</v>
      </c>
      <c r="I140" s="1" t="s">
        <v>159</v>
      </c>
      <c r="J140" s="2" t="s">
        <v>26</v>
      </c>
      <c r="K140" s="2" t="s">
        <v>662</v>
      </c>
      <c r="L140" s="2" t="s">
        <v>662</v>
      </c>
      <c r="M140" s="2" t="s">
        <v>662</v>
      </c>
    </row>
    <row r="141">
      <c r="C141" s="2" t="s">
        <v>316</v>
      </c>
      <c r="D141" s="1" t="s">
        <v>159</v>
      </c>
      <c r="E141" s="2" t="s">
        <v>843</v>
      </c>
      <c r="F141" s="1" t="s">
        <v>159</v>
      </c>
      <c r="G141" s="1" t="s">
        <v>159</v>
      </c>
      <c r="H141" s="1" t="s">
        <v>159</v>
      </c>
      <c r="I141" s="1" t="s">
        <v>159</v>
      </c>
      <c r="J141" s="2">
        <v>208.0</v>
      </c>
      <c r="K141" s="2" t="s">
        <v>662</v>
      </c>
      <c r="L141" s="2" t="s">
        <v>662</v>
      </c>
      <c r="M141" s="2" t="s">
        <v>662</v>
      </c>
    </row>
    <row r="142">
      <c r="C142" s="2" t="s">
        <v>316</v>
      </c>
      <c r="D142" s="1" t="s">
        <v>159</v>
      </c>
      <c r="E142" s="2" t="s">
        <v>846</v>
      </c>
      <c r="F142" s="1" t="s">
        <v>159</v>
      </c>
      <c r="G142" s="1" t="s">
        <v>159</v>
      </c>
      <c r="H142" s="1" t="s">
        <v>159</v>
      </c>
      <c r="I142" s="1" t="s">
        <v>159</v>
      </c>
      <c r="J142" s="2">
        <v>15.0</v>
      </c>
      <c r="K142" s="2" t="s">
        <v>662</v>
      </c>
      <c r="L142" s="2" t="s">
        <v>662</v>
      </c>
      <c r="M142" s="2" t="s">
        <v>662</v>
      </c>
    </row>
    <row r="143">
      <c r="C143" s="2" t="s">
        <v>316</v>
      </c>
      <c r="D143" s="1" t="s">
        <v>159</v>
      </c>
      <c r="E143" s="2" t="s">
        <v>852</v>
      </c>
      <c r="F143" s="1" t="s">
        <v>159</v>
      </c>
      <c r="G143" s="1" t="s">
        <v>159</v>
      </c>
      <c r="H143" s="1" t="s">
        <v>159</v>
      </c>
      <c r="I143" s="1" t="s">
        <v>159</v>
      </c>
      <c r="J143" s="2" t="s">
        <v>26</v>
      </c>
      <c r="K143" s="2" t="s">
        <v>662</v>
      </c>
      <c r="L143" s="2" t="s">
        <v>662</v>
      </c>
      <c r="M143" s="2" t="s">
        <v>662</v>
      </c>
    </row>
    <row r="144">
      <c r="C144" s="2" t="s">
        <v>316</v>
      </c>
      <c r="D144" s="1" t="s">
        <v>159</v>
      </c>
      <c r="E144" s="2" t="s">
        <v>855</v>
      </c>
      <c r="F144" s="1" t="s">
        <v>159</v>
      </c>
      <c r="G144" s="1" t="s">
        <v>159</v>
      </c>
      <c r="H144" s="1" t="s">
        <v>159</v>
      </c>
      <c r="I144" s="1" t="s">
        <v>159</v>
      </c>
      <c r="J144" s="2" t="s">
        <v>41</v>
      </c>
      <c r="K144" s="2" t="s">
        <v>662</v>
      </c>
      <c r="L144" s="2" t="s">
        <v>662</v>
      </c>
      <c r="M144" s="2" t="s">
        <v>662</v>
      </c>
    </row>
    <row r="145">
      <c r="C145" s="2" t="s">
        <v>316</v>
      </c>
      <c r="D145" s="1" t="s">
        <v>159</v>
      </c>
      <c r="E145" s="2" t="s">
        <v>856</v>
      </c>
      <c r="F145" s="1" t="s">
        <v>159</v>
      </c>
      <c r="G145" s="1" t="s">
        <v>159</v>
      </c>
      <c r="H145" s="1" t="s">
        <v>159</v>
      </c>
      <c r="I145" s="1" t="s">
        <v>159</v>
      </c>
      <c r="J145" s="2" t="s">
        <v>41</v>
      </c>
      <c r="K145" s="2" t="s">
        <v>662</v>
      </c>
      <c r="L145" s="2" t="s">
        <v>662</v>
      </c>
      <c r="M145" s="2" t="s">
        <v>662</v>
      </c>
    </row>
    <row r="146">
      <c r="C146" s="2" t="s">
        <v>316</v>
      </c>
      <c r="D146" s="1" t="s">
        <v>159</v>
      </c>
      <c r="E146" s="2" t="s">
        <v>857</v>
      </c>
      <c r="F146" s="1" t="s">
        <v>159</v>
      </c>
      <c r="G146" s="1" t="s">
        <v>159</v>
      </c>
      <c r="H146" s="1" t="s">
        <v>159</v>
      </c>
      <c r="I146" s="1" t="s">
        <v>159</v>
      </c>
      <c r="J146" s="2" t="s">
        <v>41</v>
      </c>
      <c r="K146" s="2" t="s">
        <v>662</v>
      </c>
      <c r="L146" s="2" t="s">
        <v>662</v>
      </c>
      <c r="M146" s="2" t="s">
        <v>662</v>
      </c>
    </row>
    <row r="147">
      <c r="C147" s="2" t="s">
        <v>316</v>
      </c>
      <c r="D147" s="1" t="s">
        <v>159</v>
      </c>
      <c r="E147" s="2" t="s">
        <v>859</v>
      </c>
      <c r="F147" s="1" t="s">
        <v>159</v>
      </c>
      <c r="G147" s="1" t="s">
        <v>159</v>
      </c>
      <c r="H147" s="1" t="s">
        <v>159</v>
      </c>
      <c r="I147" s="1" t="s">
        <v>159</v>
      </c>
      <c r="J147" s="2" t="s">
        <v>37</v>
      </c>
      <c r="K147" s="2" t="s">
        <v>662</v>
      </c>
      <c r="L147" s="2" t="s">
        <v>662</v>
      </c>
      <c r="M147" s="2" t="s">
        <v>662</v>
      </c>
    </row>
    <row r="148">
      <c r="C148" s="2" t="s">
        <v>316</v>
      </c>
      <c r="D148" s="1" t="s">
        <v>159</v>
      </c>
      <c r="E148" s="2" t="s">
        <v>861</v>
      </c>
      <c r="F148" s="1" t="s">
        <v>159</v>
      </c>
      <c r="G148" s="1" t="s">
        <v>159</v>
      </c>
      <c r="H148" s="1" t="s">
        <v>159</v>
      </c>
      <c r="I148" s="1" t="s">
        <v>159</v>
      </c>
      <c r="J148" s="2">
        <v>10.0</v>
      </c>
      <c r="K148" s="2" t="s">
        <v>662</v>
      </c>
      <c r="L148" s="2" t="s">
        <v>662</v>
      </c>
      <c r="M148" s="2" t="s">
        <v>662</v>
      </c>
    </row>
    <row r="149">
      <c r="C149" s="2" t="s">
        <v>316</v>
      </c>
      <c r="D149" s="1" t="s">
        <v>159</v>
      </c>
      <c r="E149" s="2" t="s">
        <v>918</v>
      </c>
      <c r="F149" s="1" t="s">
        <v>159</v>
      </c>
      <c r="G149" s="1" t="s">
        <v>159</v>
      </c>
      <c r="H149" s="1" t="s">
        <v>159</v>
      </c>
      <c r="I149" s="1" t="s">
        <v>159</v>
      </c>
      <c r="J149" s="2" t="s">
        <v>20</v>
      </c>
      <c r="K149" s="2" t="s">
        <v>662</v>
      </c>
      <c r="L149" s="2" t="s">
        <v>662</v>
      </c>
      <c r="M149" s="2" t="s">
        <v>662</v>
      </c>
    </row>
    <row r="150">
      <c r="C150" s="2" t="s">
        <v>316</v>
      </c>
      <c r="D150" s="1" t="s">
        <v>159</v>
      </c>
      <c r="E150" s="2" t="s">
        <v>864</v>
      </c>
      <c r="F150" s="1" t="s">
        <v>159</v>
      </c>
      <c r="G150" s="1" t="s">
        <v>159</v>
      </c>
      <c r="H150" s="1" t="s">
        <v>159</v>
      </c>
      <c r="I150" s="1" t="s">
        <v>159</v>
      </c>
      <c r="J150" s="2" t="s">
        <v>26</v>
      </c>
      <c r="K150" s="2" t="s">
        <v>662</v>
      </c>
      <c r="L150" s="2" t="s">
        <v>662</v>
      </c>
      <c r="M150" s="2" t="s">
        <v>662</v>
      </c>
    </row>
    <row r="151">
      <c r="C151" s="2" t="s">
        <v>316</v>
      </c>
      <c r="D151" s="1" t="s">
        <v>159</v>
      </c>
      <c r="E151" s="2" t="s">
        <v>866</v>
      </c>
      <c r="F151" s="1" t="s">
        <v>159</v>
      </c>
      <c r="G151" s="1" t="s">
        <v>159</v>
      </c>
      <c r="H151" s="1" t="s">
        <v>159</v>
      </c>
      <c r="I151" s="1" t="s">
        <v>159</v>
      </c>
      <c r="J151" s="2" t="s">
        <v>37</v>
      </c>
      <c r="K151" s="2" t="s">
        <v>662</v>
      </c>
      <c r="L151" s="2" t="s">
        <v>662</v>
      </c>
      <c r="M151" s="2" t="s">
        <v>662</v>
      </c>
    </row>
    <row r="152">
      <c r="C152" s="2" t="s">
        <v>316</v>
      </c>
      <c r="D152" s="1" t="s">
        <v>159</v>
      </c>
      <c r="E152" s="2" t="s">
        <v>868</v>
      </c>
      <c r="F152" s="1" t="s">
        <v>159</v>
      </c>
      <c r="G152" s="1" t="s">
        <v>159</v>
      </c>
      <c r="H152" s="1" t="s">
        <v>159</v>
      </c>
      <c r="I152" s="1" t="s">
        <v>159</v>
      </c>
      <c r="J152" s="2">
        <v>485.0</v>
      </c>
      <c r="K152" s="2" t="s">
        <v>662</v>
      </c>
      <c r="L152" s="2" t="s">
        <v>662</v>
      </c>
      <c r="M152" s="2" t="s">
        <v>662</v>
      </c>
    </row>
    <row r="153">
      <c r="C153" s="2" t="s">
        <v>316</v>
      </c>
      <c r="D153" s="1" t="s">
        <v>159</v>
      </c>
      <c r="E153" s="2" t="s">
        <v>927</v>
      </c>
      <c r="F153" s="1" t="s">
        <v>159</v>
      </c>
      <c r="G153" s="1" t="s">
        <v>159</v>
      </c>
      <c r="H153" s="1" t="s">
        <v>159</v>
      </c>
      <c r="I153" s="1" t="s">
        <v>159</v>
      </c>
      <c r="J153" s="2" t="s">
        <v>20</v>
      </c>
      <c r="K153" s="2" t="s">
        <v>662</v>
      </c>
      <c r="L153" s="2" t="s">
        <v>662</v>
      </c>
      <c r="M153" s="2" t="s">
        <v>662</v>
      </c>
    </row>
    <row r="154">
      <c r="C154" s="2" t="s">
        <v>316</v>
      </c>
      <c r="D154" s="1" t="s">
        <v>159</v>
      </c>
      <c r="E154" s="2" t="s">
        <v>928</v>
      </c>
      <c r="F154" s="1" t="s">
        <v>159</v>
      </c>
      <c r="G154" s="1" t="s">
        <v>159</v>
      </c>
      <c r="H154" s="1" t="s">
        <v>159</v>
      </c>
      <c r="I154" s="1" t="s">
        <v>159</v>
      </c>
      <c r="J154" s="2" t="s">
        <v>20</v>
      </c>
      <c r="K154" s="2" t="s">
        <v>662</v>
      </c>
      <c r="L154" s="2" t="s">
        <v>662</v>
      </c>
      <c r="M154" s="2" t="s">
        <v>662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c r="C1" s="2" t="s">
        <v>2</v>
      </c>
      <c r="D1" s="2" t="s">
        <v>3</v>
      </c>
      <c r="E1" s="2" t="s">
        <v>4</v>
      </c>
      <c r="F1" s="2" t="s">
        <v>5</v>
      </c>
      <c r="G1" s="2" t="s">
        <v>6</v>
      </c>
      <c r="H1" s="2" t="s">
        <v>7</v>
      </c>
      <c r="I1" s="2" t="s">
        <v>8</v>
      </c>
      <c r="J1" s="2" t="s">
        <v>9</v>
      </c>
      <c r="K1" s="2" t="s">
        <v>10</v>
      </c>
      <c r="L1" s="2" t="s">
        <v>11</v>
      </c>
      <c r="M1" s="2" t="s">
        <v>12</v>
      </c>
    </row>
    <row r="2">
      <c r="A2" s="3">
        <v>1.0</v>
      </c>
      <c r="B2" s="3">
        <v>1.0</v>
      </c>
      <c r="C2" s="2" t="s">
        <v>13</v>
      </c>
      <c r="D2" s="2" t="s">
        <v>388</v>
      </c>
      <c r="E2" s="2" t="s">
        <v>15</v>
      </c>
      <c r="F2" s="2" t="s">
        <v>220</v>
      </c>
      <c r="G2" s="2" t="s">
        <v>221</v>
      </c>
      <c r="H2" s="2" t="s">
        <v>222</v>
      </c>
      <c r="I2" s="2" t="s">
        <v>223</v>
      </c>
      <c r="J2" s="2" t="s">
        <v>20</v>
      </c>
      <c r="K2" s="2" t="s">
        <v>33</v>
      </c>
      <c r="L2" s="2" t="s">
        <v>22</v>
      </c>
      <c r="M2" s="2" t="s">
        <v>23</v>
      </c>
    </row>
    <row r="3">
      <c r="A3" s="3">
        <v>1.0</v>
      </c>
      <c r="B3" s="3">
        <v>2.0</v>
      </c>
      <c r="C3" s="2" t="s">
        <v>13</v>
      </c>
      <c r="D3" s="2" t="s">
        <v>400</v>
      </c>
      <c r="E3" s="2" t="s">
        <v>228</v>
      </c>
      <c r="F3" s="2" t="s">
        <v>230</v>
      </c>
      <c r="G3" s="2" t="s">
        <v>231</v>
      </c>
      <c r="H3" s="2" t="s">
        <v>233</v>
      </c>
      <c r="I3" s="2" t="s">
        <v>234</v>
      </c>
      <c r="J3" s="2" t="s">
        <v>41</v>
      </c>
      <c r="K3" s="2" t="s">
        <v>81</v>
      </c>
      <c r="L3" s="2" t="s">
        <v>22</v>
      </c>
      <c r="M3" s="2" t="s">
        <v>23</v>
      </c>
    </row>
    <row r="4">
      <c r="A4" s="3">
        <v>1.0</v>
      </c>
      <c r="B4" s="3">
        <v>3.0</v>
      </c>
      <c r="C4" s="2" t="s">
        <v>13</v>
      </c>
      <c r="D4" s="2" t="s">
        <v>236</v>
      </c>
      <c r="E4" s="2" t="s">
        <v>15</v>
      </c>
      <c r="F4" s="2" t="s">
        <v>237</v>
      </c>
      <c r="G4" s="2" t="s">
        <v>239</v>
      </c>
      <c r="H4" s="2" t="s">
        <v>240</v>
      </c>
      <c r="I4" s="2" t="s">
        <v>242</v>
      </c>
      <c r="J4" s="2" t="s">
        <v>20</v>
      </c>
      <c r="K4" s="2" t="s">
        <v>33</v>
      </c>
      <c r="L4" s="2" t="s">
        <v>22</v>
      </c>
      <c r="M4" s="2" t="s">
        <v>23</v>
      </c>
    </row>
    <row r="5">
      <c r="A5" s="3">
        <v>1.0</v>
      </c>
      <c r="B5" s="3">
        <v>4.0</v>
      </c>
      <c r="C5" s="2" t="s">
        <v>13</v>
      </c>
      <c r="D5" s="2" t="s">
        <v>421</v>
      </c>
      <c r="E5" s="2" t="s">
        <v>15</v>
      </c>
      <c r="F5" s="2" t="s">
        <v>248</v>
      </c>
      <c r="G5" s="2" t="s">
        <v>249</v>
      </c>
      <c r="H5" s="2" t="s">
        <v>250</v>
      </c>
      <c r="I5" s="2" t="s">
        <v>251</v>
      </c>
      <c r="J5" s="2" t="s">
        <v>251</v>
      </c>
      <c r="K5" s="2" t="s">
        <v>21</v>
      </c>
      <c r="L5" s="2" t="s">
        <v>22</v>
      </c>
      <c r="M5" s="2" t="s">
        <v>43</v>
      </c>
    </row>
    <row r="6">
      <c r="A6" s="3">
        <v>1.0</v>
      </c>
      <c r="B6" s="3">
        <v>5.0</v>
      </c>
      <c r="C6" s="2" t="s">
        <v>13</v>
      </c>
      <c r="D6" s="4" t="s">
        <v>435</v>
      </c>
      <c r="E6" s="2" t="s">
        <v>259</v>
      </c>
      <c r="F6" s="2" t="s">
        <v>260</v>
      </c>
      <c r="G6" s="2" t="s">
        <v>261</v>
      </c>
      <c r="H6" s="2" t="s">
        <v>262</v>
      </c>
      <c r="I6" s="2" t="s">
        <v>263</v>
      </c>
      <c r="J6" s="2" t="s">
        <v>262</v>
      </c>
      <c r="K6" s="2" t="s">
        <v>81</v>
      </c>
      <c r="L6" s="2" t="s">
        <v>22</v>
      </c>
      <c r="M6" s="2" t="s">
        <v>23</v>
      </c>
    </row>
    <row r="7">
      <c r="A7" s="3">
        <v>1.0</v>
      </c>
      <c r="B7" s="3">
        <v>6.0</v>
      </c>
      <c r="C7" s="2" t="s">
        <v>13</v>
      </c>
      <c r="D7" s="2" t="s">
        <v>264</v>
      </c>
      <c r="E7" s="2" t="s">
        <v>75</v>
      </c>
      <c r="F7" s="2" t="s">
        <v>267</v>
      </c>
      <c r="G7" s="2" t="s">
        <v>269</v>
      </c>
      <c r="H7" s="2" t="s">
        <v>270</v>
      </c>
      <c r="I7" s="2" t="s">
        <v>272</v>
      </c>
      <c r="J7" s="2" t="s">
        <v>269</v>
      </c>
      <c r="K7" s="2" t="s">
        <v>42</v>
      </c>
      <c r="L7" s="2" t="s">
        <v>82</v>
      </c>
      <c r="M7" s="2" t="s">
        <v>23</v>
      </c>
    </row>
    <row r="8">
      <c r="A8" s="3">
        <v>1.0</v>
      </c>
      <c r="B8" s="3">
        <v>7.0</v>
      </c>
      <c r="C8" s="2" t="s">
        <v>13</v>
      </c>
      <c r="D8" s="2" t="s">
        <v>275</v>
      </c>
      <c r="E8" s="2" t="s">
        <v>75</v>
      </c>
      <c r="F8" s="2" t="s">
        <v>462</v>
      </c>
      <c r="G8" s="2" t="s">
        <v>464</v>
      </c>
      <c r="H8" s="2" t="s">
        <v>467</v>
      </c>
      <c r="I8" s="2" t="s">
        <v>470</v>
      </c>
      <c r="J8" s="2" t="s">
        <v>464</v>
      </c>
      <c r="K8" s="2" t="s">
        <v>42</v>
      </c>
      <c r="L8" s="2" t="s">
        <v>82</v>
      </c>
      <c r="M8" s="2" t="s">
        <v>23</v>
      </c>
    </row>
    <row r="9">
      <c r="A9" s="3">
        <v>1.0</v>
      </c>
      <c r="B9" s="3">
        <v>8.0</v>
      </c>
      <c r="C9" s="2" t="s">
        <v>13</v>
      </c>
      <c r="D9" s="2" t="s">
        <v>281</v>
      </c>
      <c r="E9" s="2" t="s">
        <v>86</v>
      </c>
      <c r="F9" s="2" t="s">
        <v>284</v>
      </c>
      <c r="G9" s="2" t="s">
        <v>286</v>
      </c>
      <c r="H9" s="2" t="s">
        <v>287</v>
      </c>
      <c r="I9" s="2" t="s">
        <v>288</v>
      </c>
      <c r="J9" s="2" t="s">
        <v>26</v>
      </c>
      <c r="K9" s="2" t="s">
        <v>33</v>
      </c>
      <c r="L9" s="2" t="s">
        <v>82</v>
      </c>
      <c r="M9" s="2" t="s">
        <v>92</v>
      </c>
    </row>
    <row r="10">
      <c r="A10" s="3">
        <v>1.0</v>
      </c>
      <c r="B10" s="3">
        <v>9.0</v>
      </c>
      <c r="C10" s="2" t="s">
        <v>13</v>
      </c>
      <c r="D10" s="2" t="s">
        <v>289</v>
      </c>
      <c r="E10" s="2" t="s">
        <v>290</v>
      </c>
      <c r="F10" s="2" t="s">
        <v>292</v>
      </c>
      <c r="G10" s="2" t="s">
        <v>293</v>
      </c>
      <c r="H10" s="2" t="s">
        <v>294</v>
      </c>
      <c r="I10" s="2" t="s">
        <v>296</v>
      </c>
      <c r="J10" s="2" t="s">
        <v>41</v>
      </c>
      <c r="K10" s="2" t="s">
        <v>81</v>
      </c>
      <c r="L10" s="2" t="s">
        <v>112</v>
      </c>
      <c r="M10" s="2" t="s">
        <v>23</v>
      </c>
    </row>
    <row r="11">
      <c r="A11" s="3">
        <v>1.0</v>
      </c>
      <c r="B11" s="3">
        <v>10.0</v>
      </c>
      <c r="C11" s="2" t="s">
        <v>13</v>
      </c>
      <c r="D11" s="2" t="s">
        <v>493</v>
      </c>
      <c r="E11" s="2" t="s">
        <v>301</v>
      </c>
      <c r="F11" s="2" t="s">
        <v>302</v>
      </c>
      <c r="G11" s="2" t="s">
        <v>303</v>
      </c>
      <c r="H11" s="2" t="s">
        <v>304</v>
      </c>
      <c r="I11" s="2" t="s">
        <v>305</v>
      </c>
      <c r="J11" s="2" t="s">
        <v>41</v>
      </c>
      <c r="K11" s="2" t="s">
        <v>33</v>
      </c>
      <c r="L11" s="2" t="s">
        <v>136</v>
      </c>
      <c r="M11" s="2" t="s">
        <v>23</v>
      </c>
    </row>
    <row r="12">
      <c r="A12" s="3">
        <v>1.0</v>
      </c>
      <c r="B12" s="3">
        <v>11.0</v>
      </c>
      <c r="C12" s="2" t="s">
        <v>13</v>
      </c>
      <c r="D12" s="2" t="s">
        <v>503</v>
      </c>
      <c r="E12" s="2" t="s">
        <v>308</v>
      </c>
      <c r="F12" s="2" t="s">
        <v>309</v>
      </c>
      <c r="G12" s="2" t="s">
        <v>310</v>
      </c>
      <c r="H12" s="2" t="s">
        <v>311</v>
      </c>
      <c r="I12" s="2" t="s">
        <v>313</v>
      </c>
      <c r="J12" s="2" t="s">
        <v>41</v>
      </c>
      <c r="K12" s="2" t="s">
        <v>81</v>
      </c>
      <c r="L12" s="2" t="s">
        <v>136</v>
      </c>
      <c r="M12" s="2" t="s">
        <v>23</v>
      </c>
    </row>
    <row r="13">
      <c r="A13" s="3">
        <v>1.0</v>
      </c>
      <c r="B13" s="3">
        <v>12.0</v>
      </c>
      <c r="C13" s="2" t="s">
        <v>13</v>
      </c>
      <c r="D13" s="2" t="s">
        <v>524</v>
      </c>
      <c r="E13" s="2" t="s">
        <v>318</v>
      </c>
      <c r="F13" s="2" t="s">
        <v>319</v>
      </c>
      <c r="G13" s="2" t="s">
        <v>320</v>
      </c>
      <c r="H13" s="2" t="s">
        <v>321</v>
      </c>
      <c r="I13" s="2" t="s">
        <v>322</v>
      </c>
      <c r="J13" s="2" t="s">
        <v>37</v>
      </c>
      <c r="K13" s="2" t="s">
        <v>33</v>
      </c>
      <c r="L13" s="2" t="s">
        <v>136</v>
      </c>
      <c r="M13" s="2" t="s">
        <v>23</v>
      </c>
      <c r="N13" s="7" t="str">
        <f>IMAGE("https://lh3.googleusercontent.com/d/1Nk9MSc2E57Kbritp9O_uGo-_Jb40PGc9")</f>
        <v/>
      </c>
    </row>
    <row r="14">
      <c r="A14" s="3">
        <v>1.0</v>
      </c>
      <c r="B14" s="3">
        <v>13.0</v>
      </c>
      <c r="C14" s="2" t="s">
        <v>13</v>
      </c>
      <c r="D14" s="2" t="s">
        <v>554</v>
      </c>
      <c r="E14" s="2" t="s">
        <v>558</v>
      </c>
      <c r="F14" s="1" t="s">
        <v>159</v>
      </c>
      <c r="G14" s="1" t="s">
        <v>159</v>
      </c>
      <c r="H14" s="1" t="s">
        <v>159</v>
      </c>
      <c r="I14" s="1" t="s">
        <v>159</v>
      </c>
      <c r="J14" s="2" t="s">
        <v>558</v>
      </c>
      <c r="K14" s="2" t="s">
        <v>329</v>
      </c>
      <c r="L14" s="2" t="s">
        <v>329</v>
      </c>
      <c r="M14" s="2" t="s">
        <v>329</v>
      </c>
    </row>
    <row r="15">
      <c r="A15" s="3">
        <v>1.0</v>
      </c>
      <c r="B15" s="3">
        <v>14.0</v>
      </c>
      <c r="C15" s="2" t="s">
        <v>13</v>
      </c>
      <c r="D15" s="2" t="s">
        <v>331</v>
      </c>
      <c r="E15" s="2" t="s">
        <v>333</v>
      </c>
      <c r="F15" s="1" t="s">
        <v>159</v>
      </c>
      <c r="G15" s="1" t="s">
        <v>159</v>
      </c>
      <c r="H15" s="1" t="s">
        <v>159</v>
      </c>
      <c r="I15" s="1" t="s">
        <v>159</v>
      </c>
      <c r="J15" s="2" t="s">
        <v>26</v>
      </c>
      <c r="K15" s="2" t="s">
        <v>42</v>
      </c>
      <c r="L15" s="2" t="s">
        <v>136</v>
      </c>
      <c r="M15" s="2" t="s">
        <v>92</v>
      </c>
    </row>
    <row r="16">
      <c r="A16" s="3">
        <v>1.0</v>
      </c>
      <c r="B16" s="3">
        <v>15.0</v>
      </c>
      <c r="C16" s="2" t="s">
        <v>13</v>
      </c>
      <c r="D16" s="2" t="s">
        <v>574</v>
      </c>
      <c r="E16" s="2" t="s">
        <v>161</v>
      </c>
      <c r="F16" s="2" t="s">
        <v>338</v>
      </c>
      <c r="G16" s="2" t="s">
        <v>339</v>
      </c>
      <c r="H16" s="2" t="s">
        <v>340</v>
      </c>
      <c r="I16" s="2" t="s">
        <v>342</v>
      </c>
      <c r="J16" s="2" t="s">
        <v>37</v>
      </c>
      <c r="K16" s="2" t="s">
        <v>21</v>
      </c>
      <c r="L16" s="2" t="s">
        <v>166</v>
      </c>
      <c r="M16" s="2" t="s">
        <v>23</v>
      </c>
    </row>
    <row r="17">
      <c r="A17" s="3">
        <v>1.0</v>
      </c>
      <c r="B17" s="3">
        <v>16.0</v>
      </c>
      <c r="C17" s="2" t="s">
        <v>13</v>
      </c>
      <c r="D17" s="2" t="s">
        <v>585</v>
      </c>
      <c r="E17" s="2" t="s">
        <v>161</v>
      </c>
      <c r="F17" s="2" t="s">
        <v>348</v>
      </c>
      <c r="G17" s="2" t="s">
        <v>349</v>
      </c>
      <c r="H17" s="2" t="s">
        <v>350</v>
      </c>
      <c r="I17" s="2" t="s">
        <v>351</v>
      </c>
      <c r="J17" s="2" t="s">
        <v>26</v>
      </c>
      <c r="K17" s="2" t="s">
        <v>33</v>
      </c>
      <c r="L17" s="2" t="s">
        <v>166</v>
      </c>
      <c r="M17" s="2" t="s">
        <v>92</v>
      </c>
    </row>
    <row r="18">
      <c r="A18" s="3">
        <v>1.0</v>
      </c>
      <c r="B18" s="3">
        <v>17.0</v>
      </c>
      <c r="C18" s="2" t="s">
        <v>13</v>
      </c>
      <c r="D18" s="2" t="s">
        <v>354</v>
      </c>
      <c r="E18" s="2" t="s">
        <v>168</v>
      </c>
      <c r="F18" s="2" t="s">
        <v>356</v>
      </c>
      <c r="G18" s="2" t="s">
        <v>358</v>
      </c>
      <c r="H18" s="2" t="s">
        <v>359</v>
      </c>
      <c r="I18" s="2" t="s">
        <v>361</v>
      </c>
      <c r="J18" s="2" t="s">
        <v>26</v>
      </c>
      <c r="K18" s="2" t="s">
        <v>21</v>
      </c>
      <c r="L18" s="2" t="s">
        <v>173</v>
      </c>
      <c r="M18" s="2" t="s">
        <v>92</v>
      </c>
    </row>
    <row r="19">
      <c r="A19" s="3">
        <v>1.0</v>
      </c>
      <c r="B19" s="3">
        <v>18.0</v>
      </c>
      <c r="C19" s="2" t="s">
        <v>13</v>
      </c>
      <c r="D19" s="2" t="s">
        <v>364</v>
      </c>
      <c r="E19" s="2" t="s">
        <v>168</v>
      </c>
      <c r="F19" s="2" t="s">
        <v>365</v>
      </c>
      <c r="G19" s="2" t="s">
        <v>366</v>
      </c>
      <c r="H19" s="2" t="s">
        <v>367</v>
      </c>
      <c r="I19" s="2" t="s">
        <v>369</v>
      </c>
      <c r="J19" s="2" t="s">
        <v>20</v>
      </c>
      <c r="K19" s="2" t="s">
        <v>33</v>
      </c>
      <c r="L19" s="2" t="s">
        <v>184</v>
      </c>
      <c r="M19" s="2" t="s">
        <v>23</v>
      </c>
    </row>
    <row r="20">
      <c r="A20" s="3">
        <v>1.0</v>
      </c>
      <c r="B20" s="3">
        <v>19.0</v>
      </c>
      <c r="C20" s="2" t="s">
        <v>13</v>
      </c>
      <c r="D20" s="2" t="s">
        <v>375</v>
      </c>
      <c r="E20" s="2" t="s">
        <v>168</v>
      </c>
      <c r="F20" s="2" t="s">
        <v>376</v>
      </c>
      <c r="G20" s="2" t="s">
        <v>377</v>
      </c>
      <c r="H20" s="2" t="s">
        <v>616</v>
      </c>
      <c r="I20" s="2" t="s">
        <v>379</v>
      </c>
      <c r="J20" s="2" t="s">
        <v>26</v>
      </c>
      <c r="K20" s="2" t="s">
        <v>21</v>
      </c>
      <c r="L20" s="2" t="s">
        <v>184</v>
      </c>
      <c r="M20" s="2" t="s">
        <v>23</v>
      </c>
    </row>
    <row r="21">
      <c r="A21" s="3">
        <v>1.0</v>
      </c>
      <c r="B21" s="3">
        <v>20.0</v>
      </c>
      <c r="C21" s="2" t="s">
        <v>13</v>
      </c>
      <c r="D21" s="2" t="s">
        <v>382</v>
      </c>
      <c r="E21" s="2" t="s">
        <v>168</v>
      </c>
      <c r="F21" s="2" t="s">
        <v>384</v>
      </c>
      <c r="G21" s="2" t="s">
        <v>386</v>
      </c>
      <c r="H21" s="2" t="s">
        <v>387</v>
      </c>
      <c r="I21" s="2" t="s">
        <v>390</v>
      </c>
      <c r="J21" s="2" t="s">
        <v>41</v>
      </c>
      <c r="K21" s="2" t="s">
        <v>33</v>
      </c>
      <c r="L21" s="2" t="s">
        <v>173</v>
      </c>
      <c r="M21" s="2" t="s">
        <v>23</v>
      </c>
    </row>
    <row r="22">
      <c r="A22" s="3">
        <v>1.0</v>
      </c>
      <c r="B22" s="3">
        <v>21.0</v>
      </c>
      <c r="C22" s="2" t="s">
        <v>13</v>
      </c>
      <c r="D22" s="2" t="s">
        <v>392</v>
      </c>
      <c r="E22" s="2" t="s">
        <v>168</v>
      </c>
      <c r="F22" s="2" t="s">
        <v>393</v>
      </c>
      <c r="G22" s="2" t="s">
        <v>395</v>
      </c>
      <c r="H22" s="2" t="s">
        <v>396</v>
      </c>
      <c r="I22" s="2" t="s">
        <v>398</v>
      </c>
      <c r="J22" s="2" t="s">
        <v>41</v>
      </c>
      <c r="K22" s="2" t="s">
        <v>21</v>
      </c>
      <c r="L22" s="2" t="s">
        <v>173</v>
      </c>
      <c r="M22" s="2" t="s">
        <v>43</v>
      </c>
    </row>
    <row r="23">
      <c r="A23" s="3">
        <v>1.0</v>
      </c>
      <c r="B23" s="3">
        <v>22.0</v>
      </c>
      <c r="C23" s="2" t="s">
        <v>13</v>
      </c>
      <c r="D23" s="2" t="s">
        <v>404</v>
      </c>
      <c r="E23" s="2" t="s">
        <v>168</v>
      </c>
      <c r="F23" s="2" t="s">
        <v>405</v>
      </c>
      <c r="G23" s="2" t="s">
        <v>406</v>
      </c>
      <c r="H23" s="2" t="s">
        <v>407</v>
      </c>
      <c r="I23" s="2" t="s">
        <v>408</v>
      </c>
      <c r="J23" s="2" t="s">
        <v>41</v>
      </c>
      <c r="K23" s="2" t="s">
        <v>21</v>
      </c>
      <c r="L23" s="2" t="s">
        <v>184</v>
      </c>
      <c r="M23" s="2" t="s">
        <v>23</v>
      </c>
    </row>
    <row r="24">
      <c r="A24" s="3">
        <v>1.0</v>
      </c>
      <c r="B24" s="3">
        <v>23.0</v>
      </c>
      <c r="C24" s="2" t="s">
        <v>13</v>
      </c>
      <c r="D24" s="2" t="s">
        <v>414</v>
      </c>
      <c r="E24" s="2" t="s">
        <v>196</v>
      </c>
      <c r="F24" s="2" t="s">
        <v>416</v>
      </c>
      <c r="G24" s="2" t="s">
        <v>417</v>
      </c>
      <c r="H24" s="2" t="s">
        <v>418</v>
      </c>
      <c r="I24" s="2" t="s">
        <v>419</v>
      </c>
      <c r="J24" s="2" t="s">
        <v>41</v>
      </c>
      <c r="K24" s="2" t="s">
        <v>420</v>
      </c>
      <c r="L24" s="2" t="s">
        <v>201</v>
      </c>
      <c r="M24" s="2" t="s">
        <v>43</v>
      </c>
    </row>
    <row r="25">
      <c r="A25" s="3">
        <v>1.0</v>
      </c>
      <c r="B25" s="3">
        <v>24.0</v>
      </c>
      <c r="C25" s="2" t="s">
        <v>13</v>
      </c>
      <c r="D25" s="2" t="s">
        <v>422</v>
      </c>
      <c r="E25" s="2" t="s">
        <v>196</v>
      </c>
      <c r="F25" s="2" t="s">
        <v>423</v>
      </c>
      <c r="G25" s="2" t="s">
        <v>424</v>
      </c>
      <c r="H25" s="2" t="s">
        <v>642</v>
      </c>
      <c r="I25" s="2" t="s">
        <v>643</v>
      </c>
      <c r="J25" s="2" t="s">
        <v>20</v>
      </c>
      <c r="K25" s="2" t="s">
        <v>81</v>
      </c>
      <c r="L25" s="2" t="s">
        <v>201</v>
      </c>
      <c r="M25" s="2" t="s">
        <v>92</v>
      </c>
    </row>
    <row r="26">
      <c r="A26" s="3">
        <v>1.0</v>
      </c>
      <c r="B26" s="3">
        <v>25.0</v>
      </c>
      <c r="C26" s="2" t="s">
        <v>13</v>
      </c>
      <c r="D26" s="2" t="s">
        <v>645</v>
      </c>
      <c r="E26" s="2" t="s">
        <v>432</v>
      </c>
      <c r="F26" s="2" t="s">
        <v>433</v>
      </c>
      <c r="G26" s="2" t="s">
        <v>434</v>
      </c>
      <c r="H26" s="2" t="s">
        <v>436</v>
      </c>
      <c r="I26" s="2" t="s">
        <v>439</v>
      </c>
      <c r="J26" s="2" t="s">
        <v>37</v>
      </c>
      <c r="K26" s="2" t="s">
        <v>81</v>
      </c>
      <c r="L26" s="2" t="s">
        <v>219</v>
      </c>
      <c r="M26" s="2" t="s">
        <v>92</v>
      </c>
    </row>
    <row r="27">
      <c r="A27" s="3">
        <v>1.0</v>
      </c>
      <c r="B27" s="3">
        <v>26.0</v>
      </c>
      <c r="C27" s="2" t="s">
        <v>13</v>
      </c>
      <c r="D27" s="2" t="s">
        <v>648</v>
      </c>
      <c r="E27" s="2" t="s">
        <v>445</v>
      </c>
      <c r="F27" s="2" t="s">
        <v>446</v>
      </c>
      <c r="G27" s="2" t="s">
        <v>650</v>
      </c>
      <c r="H27" s="2" t="s">
        <v>448</v>
      </c>
      <c r="I27" s="2" t="s">
        <v>449</v>
      </c>
      <c r="J27" s="2" t="s">
        <v>26</v>
      </c>
      <c r="K27" s="2" t="s">
        <v>21</v>
      </c>
      <c r="L27" s="2" t="s">
        <v>219</v>
      </c>
      <c r="M27" s="2" t="s">
        <v>92</v>
      </c>
    </row>
    <row r="28">
      <c r="A28" s="3">
        <v>1.0</v>
      </c>
      <c r="B28" s="3">
        <v>27.0</v>
      </c>
      <c r="C28" s="2" t="s">
        <v>13</v>
      </c>
      <c r="D28" s="2" t="s">
        <v>654</v>
      </c>
      <c r="E28" s="2" t="s">
        <v>655</v>
      </c>
      <c r="F28" s="2" t="s">
        <v>656</v>
      </c>
      <c r="G28" s="2" t="s">
        <v>657</v>
      </c>
      <c r="H28" s="2" t="s">
        <v>244</v>
      </c>
      <c r="I28" s="2" t="s">
        <v>658</v>
      </c>
      <c r="J28" s="2" t="s">
        <v>41</v>
      </c>
      <c r="K28" s="2" t="s">
        <v>21</v>
      </c>
      <c r="L28" s="2" t="s">
        <v>219</v>
      </c>
      <c r="M28" s="2" t="s">
        <v>92</v>
      </c>
    </row>
    <row r="29">
      <c r="A29" s="3">
        <v>2.0</v>
      </c>
      <c r="B29" s="3">
        <v>1.0</v>
      </c>
      <c r="C29" s="2" t="s">
        <v>13</v>
      </c>
      <c r="D29" s="2" t="s">
        <v>468</v>
      </c>
      <c r="E29" s="2" t="s">
        <v>471</v>
      </c>
      <c r="F29" s="2" t="s">
        <v>472</v>
      </c>
      <c r="G29" s="2" t="s">
        <v>663</v>
      </c>
      <c r="H29" s="2" t="s">
        <v>244</v>
      </c>
      <c r="I29" s="2" t="s">
        <v>474</v>
      </c>
      <c r="J29" s="2" t="s">
        <v>20</v>
      </c>
      <c r="K29" s="2" t="s">
        <v>42</v>
      </c>
      <c r="L29" s="2" t="s">
        <v>219</v>
      </c>
      <c r="M29" s="2" t="s">
        <v>43</v>
      </c>
    </row>
    <row r="30">
      <c r="A30" s="3">
        <v>2.0</v>
      </c>
      <c r="B30" s="3">
        <v>2.0</v>
      </c>
      <c r="C30" s="2" t="s">
        <v>13</v>
      </c>
      <c r="D30" s="2" t="s">
        <v>667</v>
      </c>
      <c r="E30" s="2" t="s">
        <v>476</v>
      </c>
      <c r="F30" s="2" t="s">
        <v>478</v>
      </c>
      <c r="G30" s="2" t="s">
        <v>479</v>
      </c>
      <c r="H30" s="2" t="s">
        <v>480</v>
      </c>
      <c r="I30" s="2" t="s">
        <v>481</v>
      </c>
      <c r="J30" s="2" t="s">
        <v>41</v>
      </c>
      <c r="K30" s="2" t="s">
        <v>33</v>
      </c>
      <c r="L30" s="2" t="s">
        <v>219</v>
      </c>
      <c r="M30" s="2" t="s">
        <v>92</v>
      </c>
    </row>
    <row r="31">
      <c r="A31" s="3">
        <v>2.0</v>
      </c>
      <c r="B31" s="3">
        <v>3.0</v>
      </c>
      <c r="C31" s="2" t="s">
        <v>13</v>
      </c>
      <c r="D31" s="1" t="s">
        <v>159</v>
      </c>
      <c r="E31" s="2" t="s">
        <v>482</v>
      </c>
      <c r="F31" s="2" t="s">
        <v>483</v>
      </c>
      <c r="G31" s="2" t="s">
        <v>678</v>
      </c>
      <c r="H31" s="2" t="s">
        <v>679</v>
      </c>
      <c r="I31" s="2" t="s">
        <v>680</v>
      </c>
      <c r="J31" s="2" t="s">
        <v>26</v>
      </c>
      <c r="K31" s="2" t="s">
        <v>42</v>
      </c>
      <c r="L31" s="2" t="s">
        <v>22</v>
      </c>
      <c r="M31" s="2" t="s">
        <v>23</v>
      </c>
    </row>
    <row r="32">
      <c r="A32" s="3">
        <v>2.0</v>
      </c>
      <c r="B32" s="3">
        <v>4.0</v>
      </c>
      <c r="C32" s="2" t="s">
        <v>13</v>
      </c>
      <c r="D32" s="2" t="s">
        <v>491</v>
      </c>
      <c r="E32" s="2" t="s">
        <v>15</v>
      </c>
      <c r="F32" s="2" t="s">
        <v>492</v>
      </c>
      <c r="G32" s="2" t="s">
        <v>494</v>
      </c>
      <c r="H32" s="2" t="s">
        <v>495</v>
      </c>
      <c r="I32" s="2" t="s">
        <v>496</v>
      </c>
      <c r="J32" s="2" t="s">
        <v>41</v>
      </c>
      <c r="K32" s="2" t="s">
        <v>33</v>
      </c>
      <c r="L32" s="2" t="s">
        <v>22</v>
      </c>
      <c r="M32" s="2" t="s">
        <v>92</v>
      </c>
    </row>
    <row r="33">
      <c r="A33" s="3">
        <v>2.0</v>
      </c>
      <c r="B33" s="3">
        <v>5.0</v>
      </c>
      <c r="C33" s="2" t="s">
        <v>13</v>
      </c>
      <c r="D33" s="4" t="s">
        <v>686</v>
      </c>
      <c r="E33" s="2" t="s">
        <v>504</v>
      </c>
      <c r="F33" s="2" t="s">
        <v>505</v>
      </c>
      <c r="G33" s="2" t="s">
        <v>506</v>
      </c>
      <c r="H33" s="2" t="s">
        <v>507</v>
      </c>
      <c r="I33" s="2" t="s">
        <v>509</v>
      </c>
      <c r="J33" s="2" t="s">
        <v>20</v>
      </c>
      <c r="K33" s="2" t="s">
        <v>81</v>
      </c>
      <c r="L33" s="2" t="s">
        <v>22</v>
      </c>
      <c r="M33" s="2" t="s">
        <v>43</v>
      </c>
    </row>
    <row r="34">
      <c r="A34" s="3">
        <v>2.0</v>
      </c>
      <c r="B34" s="3">
        <v>6.0</v>
      </c>
      <c r="C34" s="2" t="s">
        <v>13</v>
      </c>
      <c r="D34" s="2" t="s">
        <v>514</v>
      </c>
      <c r="E34" s="2" t="s">
        <v>15</v>
      </c>
      <c r="F34" s="2" t="s">
        <v>515</v>
      </c>
      <c r="G34" s="2" t="s">
        <v>516</v>
      </c>
      <c r="H34" s="2" t="s">
        <v>518</v>
      </c>
      <c r="I34" s="2" t="s">
        <v>519</v>
      </c>
      <c r="J34" s="2" t="s">
        <v>26</v>
      </c>
      <c r="K34" s="2" t="s">
        <v>21</v>
      </c>
      <c r="L34" s="2" t="s">
        <v>22</v>
      </c>
      <c r="M34" s="2" t="s">
        <v>92</v>
      </c>
    </row>
    <row r="35">
      <c r="A35" s="3">
        <v>2.0</v>
      </c>
      <c r="B35" s="3">
        <v>7.0</v>
      </c>
      <c r="C35" s="2" t="s">
        <v>13</v>
      </c>
      <c r="D35" s="2" t="s">
        <v>691</v>
      </c>
      <c r="E35" s="2" t="s">
        <v>117</v>
      </c>
      <c r="F35" s="2" t="s">
        <v>526</v>
      </c>
      <c r="G35" s="2" t="s">
        <v>528</v>
      </c>
      <c r="H35" s="2" t="s">
        <v>529</v>
      </c>
      <c r="I35" s="2" t="s">
        <v>531</v>
      </c>
      <c r="J35" s="2" t="s">
        <v>41</v>
      </c>
      <c r="K35" s="2" t="s">
        <v>21</v>
      </c>
      <c r="L35" s="2" t="s">
        <v>82</v>
      </c>
      <c r="M35" s="2" t="s">
        <v>92</v>
      </c>
    </row>
    <row r="36">
      <c r="A36" s="3">
        <v>2.0</v>
      </c>
      <c r="B36" s="3">
        <v>8.0</v>
      </c>
      <c r="C36" s="2" t="s">
        <v>13</v>
      </c>
      <c r="D36" s="2" t="s">
        <v>693</v>
      </c>
      <c r="E36" s="2" t="s">
        <v>537</v>
      </c>
      <c r="F36" s="2" t="s">
        <v>694</v>
      </c>
      <c r="G36" s="2" t="s">
        <v>540</v>
      </c>
      <c r="H36" s="2" t="s">
        <v>542</v>
      </c>
      <c r="I36" s="2" t="s">
        <v>545</v>
      </c>
      <c r="J36" s="2" t="s">
        <v>37</v>
      </c>
      <c r="K36" s="2" t="s">
        <v>33</v>
      </c>
      <c r="L36" s="2" t="s">
        <v>363</v>
      </c>
      <c r="M36" s="2" t="s">
        <v>92</v>
      </c>
    </row>
    <row r="37">
      <c r="A37" s="3">
        <v>2.0</v>
      </c>
      <c r="B37" s="3">
        <v>9.0</v>
      </c>
      <c r="C37" s="2" t="s">
        <v>13</v>
      </c>
      <c r="D37" s="2" t="s">
        <v>697</v>
      </c>
      <c r="E37" s="2" t="s">
        <v>549</v>
      </c>
      <c r="F37" s="2" t="s">
        <v>551</v>
      </c>
      <c r="G37" s="2" t="s">
        <v>552</v>
      </c>
      <c r="H37" s="2" t="s">
        <v>556</v>
      </c>
      <c r="I37" s="2" t="s">
        <v>557</v>
      </c>
      <c r="J37" s="2" t="s">
        <v>41</v>
      </c>
      <c r="K37" s="2" t="s">
        <v>33</v>
      </c>
      <c r="L37" s="2" t="s">
        <v>363</v>
      </c>
      <c r="M37" s="2" t="s">
        <v>92</v>
      </c>
    </row>
    <row r="38">
      <c r="A38" s="3">
        <v>2.0</v>
      </c>
      <c r="B38" s="3">
        <v>10.0</v>
      </c>
      <c r="C38" s="2" t="s">
        <v>13</v>
      </c>
      <c r="D38" s="2" t="s">
        <v>560</v>
      </c>
      <c r="E38" s="2" t="s">
        <v>563</v>
      </c>
      <c r="F38" s="2" t="s">
        <v>565</v>
      </c>
      <c r="G38" s="2" t="s">
        <v>567</v>
      </c>
      <c r="H38" s="2" t="s">
        <v>568</v>
      </c>
      <c r="I38" s="2" t="s">
        <v>569</v>
      </c>
      <c r="J38" s="2" t="s">
        <v>20</v>
      </c>
      <c r="K38" s="2" t="s">
        <v>21</v>
      </c>
      <c r="L38" s="2" t="s">
        <v>112</v>
      </c>
      <c r="M38" s="2" t="s">
        <v>92</v>
      </c>
    </row>
    <row r="39">
      <c r="A39" s="3">
        <v>2.0</v>
      </c>
      <c r="B39" s="3">
        <v>11.0</v>
      </c>
      <c r="C39" s="2" t="s">
        <v>13</v>
      </c>
      <c r="D39" s="2" t="s">
        <v>572</v>
      </c>
      <c r="E39" s="2" t="s">
        <v>703</v>
      </c>
      <c r="F39" s="2" t="s">
        <v>704</v>
      </c>
      <c r="G39" s="2" t="s">
        <v>705</v>
      </c>
      <c r="H39" s="2" t="s">
        <v>706</v>
      </c>
      <c r="I39" s="2" t="s">
        <v>707</v>
      </c>
      <c r="J39" s="2" t="s">
        <v>20</v>
      </c>
      <c r="K39" s="2" t="s">
        <v>21</v>
      </c>
      <c r="L39" s="2" t="s">
        <v>201</v>
      </c>
      <c r="M39" s="2" t="s">
        <v>43</v>
      </c>
    </row>
    <row r="40">
      <c r="A40" s="3">
        <v>2.0</v>
      </c>
      <c r="B40" s="3">
        <v>12.0</v>
      </c>
      <c r="C40" s="2" t="s">
        <v>13</v>
      </c>
      <c r="D40" s="2" t="s">
        <v>576</v>
      </c>
      <c r="E40" s="2" t="s">
        <v>579</v>
      </c>
      <c r="F40" s="2" t="s">
        <v>581</v>
      </c>
      <c r="G40" s="2" t="s">
        <v>582</v>
      </c>
      <c r="H40" s="2" t="s">
        <v>583</v>
      </c>
      <c r="I40" s="2" t="s">
        <v>584</v>
      </c>
      <c r="J40" s="2" t="s">
        <v>26</v>
      </c>
      <c r="K40" s="2" t="s">
        <v>21</v>
      </c>
      <c r="L40" s="2" t="s">
        <v>112</v>
      </c>
      <c r="M40" s="2" t="s">
        <v>92</v>
      </c>
    </row>
    <row r="41">
      <c r="A41" s="3">
        <v>2.0</v>
      </c>
      <c r="B41" s="3">
        <v>13.0</v>
      </c>
      <c r="C41" s="2" t="s">
        <v>13</v>
      </c>
      <c r="D41" s="2" t="s">
        <v>586</v>
      </c>
      <c r="E41" s="2" t="s">
        <v>587</v>
      </c>
      <c r="F41" s="2" t="s">
        <v>588</v>
      </c>
      <c r="G41" s="2" t="s">
        <v>590</v>
      </c>
      <c r="H41" s="2" t="s">
        <v>591</v>
      </c>
      <c r="I41" s="2" t="s">
        <v>593</v>
      </c>
      <c r="J41" s="2" t="s">
        <v>26</v>
      </c>
      <c r="K41" s="2" t="s">
        <v>21</v>
      </c>
      <c r="L41" s="2" t="s">
        <v>112</v>
      </c>
      <c r="M41" s="2" t="s">
        <v>92</v>
      </c>
    </row>
    <row r="42">
      <c r="A42" s="3">
        <v>2.0</v>
      </c>
      <c r="B42" s="3">
        <v>14.0</v>
      </c>
      <c r="C42" s="2" t="s">
        <v>13</v>
      </c>
      <c r="D42" s="2" t="s">
        <v>597</v>
      </c>
      <c r="E42" s="2" t="s">
        <v>598</v>
      </c>
      <c r="F42" s="2" t="s">
        <v>599</v>
      </c>
      <c r="G42" s="1" t="s">
        <v>159</v>
      </c>
      <c r="H42" s="1" t="s">
        <v>159</v>
      </c>
      <c r="I42" s="1" t="s">
        <v>159</v>
      </c>
      <c r="J42" s="2" t="s">
        <v>20</v>
      </c>
      <c r="K42" s="2" t="s">
        <v>33</v>
      </c>
      <c r="L42" s="2" t="s">
        <v>136</v>
      </c>
      <c r="M42" s="2" t="s">
        <v>92</v>
      </c>
    </row>
    <row r="43">
      <c r="A43" s="3">
        <v>2.0</v>
      </c>
      <c r="B43" s="3">
        <v>15.0</v>
      </c>
      <c r="C43" s="2" t="s">
        <v>13</v>
      </c>
      <c r="D43" s="2" t="s">
        <v>721</v>
      </c>
      <c r="E43" s="2" t="s">
        <v>601</v>
      </c>
      <c r="F43" s="2" t="s">
        <v>602</v>
      </c>
      <c r="G43" s="1" t="s">
        <v>159</v>
      </c>
      <c r="H43" s="1" t="s">
        <v>159</v>
      </c>
      <c r="I43" s="1" t="s">
        <v>159</v>
      </c>
      <c r="J43" s="2" t="s">
        <v>20</v>
      </c>
      <c r="K43" s="2" t="s">
        <v>21</v>
      </c>
      <c r="L43" s="2" t="s">
        <v>136</v>
      </c>
      <c r="M43" s="2" t="s">
        <v>92</v>
      </c>
    </row>
    <row r="44">
      <c r="A44" s="3">
        <v>2.0</v>
      </c>
      <c r="B44" s="3">
        <v>16.0</v>
      </c>
      <c r="C44" s="2" t="s">
        <v>13</v>
      </c>
      <c r="D44" s="2" t="s">
        <v>727</v>
      </c>
      <c r="E44" s="2" t="s">
        <v>161</v>
      </c>
      <c r="F44" s="2" t="s">
        <v>604</v>
      </c>
      <c r="G44" s="2" t="s">
        <v>605</v>
      </c>
      <c r="H44" s="2" t="s">
        <v>729</v>
      </c>
      <c r="I44" s="2" t="s">
        <v>607</v>
      </c>
      <c r="J44" s="2" t="s">
        <v>41</v>
      </c>
      <c r="K44" s="2" t="s">
        <v>33</v>
      </c>
      <c r="L44" s="2" t="s">
        <v>166</v>
      </c>
      <c r="M44" s="2" t="s">
        <v>92</v>
      </c>
    </row>
    <row r="45">
      <c r="A45" s="3">
        <v>2.0</v>
      </c>
      <c r="B45" s="3">
        <v>17.0</v>
      </c>
      <c r="C45" s="2" t="s">
        <v>13</v>
      </c>
      <c r="D45" s="2" t="s">
        <v>608</v>
      </c>
      <c r="E45" s="2" t="s">
        <v>161</v>
      </c>
      <c r="F45" s="2" t="s">
        <v>609</v>
      </c>
      <c r="G45" s="2" t="s">
        <v>610</v>
      </c>
      <c r="H45" s="2" t="s">
        <v>611</v>
      </c>
      <c r="I45" s="2" t="s">
        <v>612</v>
      </c>
      <c r="J45" s="2" t="s">
        <v>41</v>
      </c>
      <c r="K45" s="2" t="s">
        <v>21</v>
      </c>
      <c r="L45" s="2" t="s">
        <v>166</v>
      </c>
      <c r="M45" s="2" t="s">
        <v>92</v>
      </c>
    </row>
    <row r="46">
      <c r="A46" s="3">
        <v>2.0</v>
      </c>
      <c r="B46" s="3">
        <v>18.0</v>
      </c>
      <c r="C46" s="2" t="s">
        <v>13</v>
      </c>
      <c r="D46" s="2" t="s">
        <v>736</v>
      </c>
      <c r="E46" s="2" t="s">
        <v>161</v>
      </c>
      <c r="F46" s="2" t="s">
        <v>614</v>
      </c>
      <c r="G46" s="2" t="s">
        <v>615</v>
      </c>
      <c r="H46" s="2" t="s">
        <v>617</v>
      </c>
      <c r="I46" s="2" t="s">
        <v>618</v>
      </c>
      <c r="J46" s="2" t="s">
        <v>41</v>
      </c>
      <c r="K46" s="2" t="s">
        <v>33</v>
      </c>
      <c r="L46" s="2" t="s">
        <v>166</v>
      </c>
      <c r="M46" s="2" t="s">
        <v>92</v>
      </c>
    </row>
    <row r="47">
      <c r="A47" s="3">
        <v>2.0</v>
      </c>
      <c r="B47" s="3">
        <v>19.0</v>
      </c>
      <c r="C47" s="2" t="s">
        <v>13</v>
      </c>
      <c r="D47" s="2" t="s">
        <v>742</v>
      </c>
      <c r="E47" s="2" t="s">
        <v>168</v>
      </c>
      <c r="F47" s="2" t="s">
        <v>620</v>
      </c>
      <c r="G47" s="2" t="s">
        <v>621</v>
      </c>
      <c r="H47" s="2" t="s">
        <v>622</v>
      </c>
      <c r="I47" s="2" t="s">
        <v>623</v>
      </c>
      <c r="J47" s="2" t="s">
        <v>41</v>
      </c>
      <c r="K47" s="2" t="s">
        <v>33</v>
      </c>
      <c r="L47" s="2" t="s">
        <v>184</v>
      </c>
      <c r="M47" s="2" t="s">
        <v>23</v>
      </c>
    </row>
    <row r="48">
      <c r="A48" s="3">
        <v>2.0</v>
      </c>
      <c r="B48" s="3">
        <v>20.0</v>
      </c>
      <c r="C48" s="2" t="s">
        <v>13</v>
      </c>
      <c r="D48" s="2" t="s">
        <v>744</v>
      </c>
      <c r="E48" s="2" t="s">
        <v>168</v>
      </c>
      <c r="F48" s="2" t="s">
        <v>625</v>
      </c>
      <c r="G48" s="2" t="s">
        <v>626</v>
      </c>
      <c r="H48" s="2" t="s">
        <v>627</v>
      </c>
      <c r="I48" s="2" t="s">
        <v>628</v>
      </c>
      <c r="J48" s="2" t="s">
        <v>26</v>
      </c>
      <c r="K48" s="2" t="s">
        <v>81</v>
      </c>
      <c r="L48" s="2" t="s">
        <v>173</v>
      </c>
      <c r="M48" s="2" t="s">
        <v>92</v>
      </c>
    </row>
    <row r="49">
      <c r="A49" s="3">
        <v>2.0</v>
      </c>
      <c r="B49" s="3">
        <v>21.0</v>
      </c>
      <c r="C49" s="2" t="s">
        <v>13</v>
      </c>
      <c r="D49" s="2" t="s">
        <v>629</v>
      </c>
      <c r="E49" s="2" t="s">
        <v>168</v>
      </c>
      <c r="F49" s="2" t="s">
        <v>630</v>
      </c>
      <c r="G49" s="2" t="s">
        <v>631</v>
      </c>
      <c r="H49" s="2" t="s">
        <v>632</v>
      </c>
      <c r="I49" s="2" t="s">
        <v>633</v>
      </c>
      <c r="J49" s="2" t="s">
        <v>37</v>
      </c>
      <c r="K49" s="2" t="s">
        <v>33</v>
      </c>
      <c r="L49" s="2" t="s">
        <v>173</v>
      </c>
      <c r="M49" s="2" t="s">
        <v>23</v>
      </c>
    </row>
    <row r="50">
      <c r="A50" s="3">
        <v>2.0</v>
      </c>
      <c r="B50" s="3">
        <v>22.0</v>
      </c>
      <c r="C50" s="2" t="s">
        <v>13</v>
      </c>
      <c r="D50" s="2" t="s">
        <v>634</v>
      </c>
      <c r="E50" s="2" t="s">
        <v>168</v>
      </c>
      <c r="F50" s="2" t="s">
        <v>635</v>
      </c>
      <c r="G50" s="2" t="s">
        <v>636</v>
      </c>
      <c r="H50" s="2" t="s">
        <v>637</v>
      </c>
      <c r="I50" s="2" t="s">
        <v>638</v>
      </c>
      <c r="J50" s="2" t="s">
        <v>20</v>
      </c>
      <c r="K50" s="2" t="s">
        <v>21</v>
      </c>
      <c r="L50" s="2" t="s">
        <v>184</v>
      </c>
      <c r="M50" s="2" t="s">
        <v>23</v>
      </c>
    </row>
    <row r="51">
      <c r="A51" s="3">
        <v>2.0</v>
      </c>
      <c r="B51" s="3">
        <v>23.0</v>
      </c>
      <c r="C51" s="2" t="s">
        <v>13</v>
      </c>
      <c r="D51" s="2" t="s">
        <v>756</v>
      </c>
      <c r="E51" s="2" t="s">
        <v>168</v>
      </c>
      <c r="F51" s="2" t="s">
        <v>640</v>
      </c>
      <c r="G51" s="2" t="s">
        <v>384</v>
      </c>
      <c r="H51" s="2" t="s">
        <v>641</v>
      </c>
      <c r="I51" s="2" t="s">
        <v>386</v>
      </c>
      <c r="J51" s="2" t="s">
        <v>26</v>
      </c>
      <c r="K51" s="2" t="s">
        <v>33</v>
      </c>
      <c r="L51" s="2" t="s">
        <v>173</v>
      </c>
      <c r="M51" s="2" t="s">
        <v>92</v>
      </c>
    </row>
    <row r="52">
      <c r="A52" s="3">
        <v>2.0</v>
      </c>
      <c r="B52" s="3">
        <v>24.0</v>
      </c>
      <c r="C52" s="2" t="s">
        <v>13</v>
      </c>
      <c r="D52" s="2" t="s">
        <v>644</v>
      </c>
      <c r="E52" s="2" t="s">
        <v>168</v>
      </c>
      <c r="F52" s="1" t="s">
        <v>159</v>
      </c>
      <c r="G52" s="1" t="s">
        <v>159</v>
      </c>
      <c r="H52" s="1" t="s">
        <v>159</v>
      </c>
      <c r="I52" s="1" t="s">
        <v>159</v>
      </c>
      <c r="J52" s="2">
        <v>1714.0</v>
      </c>
      <c r="K52" s="2" t="s">
        <v>329</v>
      </c>
      <c r="L52" s="2" t="s">
        <v>329</v>
      </c>
      <c r="M52" s="2" t="s">
        <v>329</v>
      </c>
    </row>
    <row r="53">
      <c r="A53" s="3">
        <v>2.0</v>
      </c>
      <c r="B53" s="3">
        <v>25.0</v>
      </c>
      <c r="K53" s="2" t="s">
        <v>662</v>
      </c>
      <c r="L53" s="2" t="s">
        <v>662</v>
      </c>
      <c r="M53" s="2" t="s">
        <v>662</v>
      </c>
    </row>
    <row r="54">
      <c r="A54" s="3">
        <v>2.0</v>
      </c>
      <c r="B54" s="3">
        <v>26.0</v>
      </c>
      <c r="K54" s="2" t="s">
        <v>662</v>
      </c>
      <c r="L54" s="2" t="s">
        <v>662</v>
      </c>
      <c r="M54" s="2" t="s">
        <v>662</v>
      </c>
    </row>
    <row r="55">
      <c r="A55" s="3">
        <v>2.0</v>
      </c>
      <c r="B55" s="3">
        <v>27.0</v>
      </c>
      <c r="K55" s="2" t="s">
        <v>662</v>
      </c>
      <c r="L55" s="2" t="s">
        <v>662</v>
      </c>
      <c r="M55" s="2" t="s">
        <v>662</v>
      </c>
    </row>
    <row r="56">
      <c r="A56" s="3">
        <v>1.0</v>
      </c>
      <c r="B56" s="3">
        <v>1.0</v>
      </c>
      <c r="C56" s="2" t="s">
        <v>316</v>
      </c>
      <c r="D56" s="2" t="s">
        <v>646</v>
      </c>
      <c r="E56" s="2" t="s">
        <v>196</v>
      </c>
      <c r="F56" s="2" t="s">
        <v>561</v>
      </c>
      <c r="G56" s="2" t="s">
        <v>562</v>
      </c>
      <c r="H56" s="2" t="s">
        <v>566</v>
      </c>
      <c r="I56" s="2" t="s">
        <v>564</v>
      </c>
      <c r="J56" s="2" t="s">
        <v>37</v>
      </c>
      <c r="K56" s="2" t="s">
        <v>662</v>
      </c>
      <c r="L56" s="2" t="s">
        <v>662</v>
      </c>
      <c r="M56" s="2" t="s">
        <v>662</v>
      </c>
    </row>
    <row r="57">
      <c r="A57" s="3">
        <v>1.0</v>
      </c>
      <c r="B57" s="3">
        <v>2.0</v>
      </c>
      <c r="C57" s="2" t="s">
        <v>316</v>
      </c>
      <c r="D57" s="2" t="s">
        <v>647</v>
      </c>
      <c r="E57" s="2" t="s">
        <v>196</v>
      </c>
      <c r="F57" s="2" t="s">
        <v>562</v>
      </c>
      <c r="G57" s="2" t="s">
        <v>203</v>
      </c>
      <c r="H57" s="2" t="s">
        <v>649</v>
      </c>
      <c r="I57" s="2" t="s">
        <v>561</v>
      </c>
      <c r="J57" s="2" t="s">
        <v>20</v>
      </c>
      <c r="K57" s="2" t="s">
        <v>662</v>
      </c>
      <c r="L57" s="2" t="s">
        <v>662</v>
      </c>
      <c r="M57" s="2" t="s">
        <v>662</v>
      </c>
    </row>
    <row r="58">
      <c r="A58" s="3">
        <v>1.0</v>
      </c>
      <c r="B58" s="3">
        <v>3.0</v>
      </c>
      <c r="C58" s="2" t="s">
        <v>316</v>
      </c>
      <c r="D58" s="2" t="s">
        <v>651</v>
      </c>
      <c r="E58" s="2" t="s">
        <v>196</v>
      </c>
      <c r="F58" s="2" t="s">
        <v>198</v>
      </c>
      <c r="G58" s="2" t="s">
        <v>652</v>
      </c>
      <c r="H58" s="2" t="s">
        <v>561</v>
      </c>
      <c r="I58" s="2" t="s">
        <v>653</v>
      </c>
      <c r="J58" s="2" t="s">
        <v>20</v>
      </c>
      <c r="K58" s="2" t="s">
        <v>662</v>
      </c>
      <c r="L58" s="2" t="s">
        <v>662</v>
      </c>
      <c r="M58" s="2" t="s">
        <v>662</v>
      </c>
    </row>
    <row r="59">
      <c r="A59" s="3">
        <v>1.0</v>
      </c>
      <c r="B59" s="3">
        <v>4.0</v>
      </c>
      <c r="C59" s="2" t="s">
        <v>316</v>
      </c>
      <c r="D59" s="2" t="s">
        <v>659</v>
      </c>
      <c r="E59" s="2" t="s">
        <v>196</v>
      </c>
      <c r="F59" s="2" t="s">
        <v>767</v>
      </c>
      <c r="G59" s="2" t="s">
        <v>768</v>
      </c>
      <c r="H59" s="2" t="s">
        <v>769</v>
      </c>
      <c r="I59" s="2" t="s">
        <v>770</v>
      </c>
      <c r="J59" s="2" t="s">
        <v>41</v>
      </c>
      <c r="K59" s="2" t="s">
        <v>662</v>
      </c>
      <c r="L59" s="2" t="s">
        <v>662</v>
      </c>
      <c r="M59" s="2" t="s">
        <v>662</v>
      </c>
    </row>
    <row r="60">
      <c r="A60" s="3">
        <v>1.0</v>
      </c>
      <c r="B60" s="3">
        <v>5.0</v>
      </c>
      <c r="C60" s="2" t="s">
        <v>316</v>
      </c>
      <c r="D60" s="1" t="s">
        <v>159</v>
      </c>
      <c r="E60" s="2" t="s">
        <v>196</v>
      </c>
      <c r="F60" s="2" t="s">
        <v>664</v>
      </c>
      <c r="G60" s="2" t="s">
        <v>197</v>
      </c>
      <c r="H60" s="2" t="s">
        <v>665</v>
      </c>
      <c r="I60" s="2" t="s">
        <v>666</v>
      </c>
      <c r="J60" s="2" t="s">
        <v>26</v>
      </c>
      <c r="K60" s="2" t="s">
        <v>662</v>
      </c>
      <c r="L60" s="2" t="s">
        <v>662</v>
      </c>
      <c r="M60" s="2" t="s">
        <v>662</v>
      </c>
    </row>
    <row r="61">
      <c r="A61" s="3">
        <v>1.0</v>
      </c>
      <c r="B61" s="3">
        <v>6.0</v>
      </c>
      <c r="C61" s="2" t="s">
        <v>316</v>
      </c>
      <c r="D61" s="2" t="s">
        <v>668</v>
      </c>
      <c r="E61" s="2" t="s">
        <v>196</v>
      </c>
      <c r="F61" s="2" t="s">
        <v>564</v>
      </c>
      <c r="G61" s="2" t="s">
        <v>669</v>
      </c>
      <c r="H61" s="2" t="s">
        <v>670</v>
      </c>
      <c r="I61" s="2" t="s">
        <v>671</v>
      </c>
      <c r="J61" s="2" t="s">
        <v>41</v>
      </c>
      <c r="K61" s="2" t="s">
        <v>662</v>
      </c>
      <c r="L61" s="2" t="s">
        <v>662</v>
      </c>
      <c r="M61" s="2" t="s">
        <v>662</v>
      </c>
    </row>
    <row r="62">
      <c r="A62" s="3">
        <v>1.0</v>
      </c>
      <c r="B62" s="3">
        <v>7.0</v>
      </c>
      <c r="C62" s="2" t="s">
        <v>316</v>
      </c>
      <c r="D62" s="2" t="s">
        <v>672</v>
      </c>
      <c r="E62" s="2" t="s">
        <v>673</v>
      </c>
      <c r="F62" s="2" t="s">
        <v>674</v>
      </c>
      <c r="G62" s="2" t="s">
        <v>675</v>
      </c>
      <c r="H62" s="2" t="s">
        <v>676</v>
      </c>
      <c r="I62" s="2" t="s">
        <v>677</v>
      </c>
      <c r="J62" s="2" t="s">
        <v>20</v>
      </c>
      <c r="K62" s="2" t="s">
        <v>662</v>
      </c>
      <c r="L62" s="2" t="s">
        <v>662</v>
      </c>
      <c r="M62" s="2" t="s">
        <v>662</v>
      </c>
    </row>
    <row r="63">
      <c r="A63" s="3">
        <v>1.0</v>
      </c>
      <c r="B63" s="3">
        <v>8.0</v>
      </c>
      <c r="C63" s="2" t="s">
        <v>316</v>
      </c>
      <c r="D63" s="1" t="s">
        <v>159</v>
      </c>
      <c r="E63" s="2" t="s">
        <v>681</v>
      </c>
      <c r="F63" s="1" t="s">
        <v>159</v>
      </c>
      <c r="G63" s="1" t="s">
        <v>159</v>
      </c>
      <c r="H63" s="1" t="s">
        <v>159</v>
      </c>
      <c r="I63" s="1" t="s">
        <v>159</v>
      </c>
      <c r="J63" s="2">
        <v>602.0</v>
      </c>
      <c r="K63" s="2" t="s">
        <v>662</v>
      </c>
      <c r="L63" s="2" t="s">
        <v>662</v>
      </c>
      <c r="M63" s="2" t="s">
        <v>662</v>
      </c>
    </row>
    <row r="64">
      <c r="A64" s="3">
        <v>1.0</v>
      </c>
      <c r="B64" s="3">
        <v>9.0</v>
      </c>
      <c r="C64" s="2" t="s">
        <v>316</v>
      </c>
      <c r="D64" s="2" t="s">
        <v>683</v>
      </c>
      <c r="E64" s="2" t="s">
        <v>782</v>
      </c>
      <c r="F64" s="2" t="s">
        <v>684</v>
      </c>
      <c r="G64" s="2" t="s">
        <v>685</v>
      </c>
      <c r="H64" s="8">
        <v>46026.0</v>
      </c>
      <c r="I64" s="8">
        <v>46213.0</v>
      </c>
      <c r="J64" s="2" t="s">
        <v>26</v>
      </c>
      <c r="K64" s="2" t="s">
        <v>662</v>
      </c>
      <c r="L64" s="2" t="s">
        <v>662</v>
      </c>
      <c r="M64" s="2" t="s">
        <v>662</v>
      </c>
    </row>
    <row r="65">
      <c r="A65" s="3">
        <v>1.0</v>
      </c>
      <c r="B65" s="3">
        <v>10.0</v>
      </c>
      <c r="C65" s="2" t="s">
        <v>316</v>
      </c>
      <c r="D65" s="1" t="s">
        <v>159</v>
      </c>
      <c r="E65" s="2" t="s">
        <v>784</v>
      </c>
      <c r="F65" s="2">
        <v>-3.0</v>
      </c>
      <c r="G65" s="2">
        <v>15.0</v>
      </c>
      <c r="H65" s="2">
        <v>18.0</v>
      </c>
      <c r="I65" s="2">
        <v>21.0</v>
      </c>
      <c r="J65" s="2" t="s">
        <v>41</v>
      </c>
      <c r="K65" s="2" t="s">
        <v>662</v>
      </c>
      <c r="L65" s="2" t="s">
        <v>662</v>
      </c>
      <c r="M65" s="2" t="s">
        <v>662</v>
      </c>
    </row>
    <row r="66">
      <c r="A66" s="3">
        <v>1.0</v>
      </c>
      <c r="B66" s="3">
        <v>11.0</v>
      </c>
      <c r="C66" s="2" t="s">
        <v>316</v>
      </c>
      <c r="D66" s="1" t="s">
        <v>159</v>
      </c>
      <c r="E66" s="2" t="s">
        <v>688</v>
      </c>
      <c r="F66" s="1" t="s">
        <v>159</v>
      </c>
      <c r="G66" s="1" t="s">
        <v>159</v>
      </c>
      <c r="H66" s="1" t="s">
        <v>159</v>
      </c>
      <c r="I66" s="1" t="s">
        <v>159</v>
      </c>
      <c r="J66" s="2">
        <v>654.0</v>
      </c>
      <c r="K66" s="2" t="s">
        <v>662</v>
      </c>
      <c r="L66" s="2" t="s">
        <v>662</v>
      </c>
      <c r="M66" s="2" t="s">
        <v>662</v>
      </c>
    </row>
    <row r="67">
      <c r="A67" s="3">
        <v>1.0</v>
      </c>
      <c r="B67" s="3">
        <v>12.0</v>
      </c>
      <c r="C67" s="2" t="s">
        <v>316</v>
      </c>
      <c r="D67" s="1" t="s">
        <v>159</v>
      </c>
      <c r="E67" s="2" t="s">
        <v>689</v>
      </c>
      <c r="F67" s="1" t="s">
        <v>159</v>
      </c>
      <c r="G67" s="1" t="s">
        <v>159</v>
      </c>
      <c r="H67" s="1" t="s">
        <v>159</v>
      </c>
      <c r="I67" s="1" t="s">
        <v>159</v>
      </c>
      <c r="J67" s="2">
        <v>5900.0</v>
      </c>
      <c r="K67" s="2" t="s">
        <v>662</v>
      </c>
      <c r="L67" s="2" t="s">
        <v>662</v>
      </c>
      <c r="M67" s="2" t="s">
        <v>662</v>
      </c>
    </row>
    <row r="68">
      <c r="A68" s="3">
        <v>1.0</v>
      </c>
      <c r="B68" s="3">
        <v>13.0</v>
      </c>
      <c r="C68" s="2" t="s">
        <v>316</v>
      </c>
      <c r="D68" s="1" t="s">
        <v>159</v>
      </c>
      <c r="E68" s="2" t="s">
        <v>690</v>
      </c>
      <c r="F68" s="1" t="s">
        <v>159</v>
      </c>
      <c r="G68" s="1" t="s">
        <v>159</v>
      </c>
      <c r="H68" s="1" t="s">
        <v>159</v>
      </c>
      <c r="I68" s="1" t="s">
        <v>159</v>
      </c>
      <c r="J68" s="2">
        <v>1.2</v>
      </c>
      <c r="K68" s="2" t="s">
        <v>662</v>
      </c>
      <c r="L68" s="2" t="s">
        <v>662</v>
      </c>
      <c r="M68" s="2" t="s">
        <v>662</v>
      </c>
    </row>
    <row r="69">
      <c r="A69" s="3">
        <v>1.0</v>
      </c>
      <c r="B69" s="3">
        <v>14.0</v>
      </c>
      <c r="C69" s="2" t="s">
        <v>316</v>
      </c>
      <c r="D69" s="1" t="s">
        <v>159</v>
      </c>
      <c r="E69" s="2" t="s">
        <v>692</v>
      </c>
      <c r="F69" s="2">
        <v>64.0</v>
      </c>
      <c r="G69" s="2">
        <v>81.0</v>
      </c>
      <c r="H69" s="2">
        <v>258.0</v>
      </c>
      <c r="I69" s="2">
        <v>384.0</v>
      </c>
      <c r="J69" s="2" t="s">
        <v>41</v>
      </c>
      <c r="K69" s="2" t="s">
        <v>662</v>
      </c>
      <c r="L69" s="2" t="s">
        <v>662</v>
      </c>
      <c r="M69" s="2" t="s">
        <v>662</v>
      </c>
    </row>
    <row r="70">
      <c r="A70" s="3">
        <v>1.0</v>
      </c>
      <c r="B70" s="3">
        <v>15.0</v>
      </c>
      <c r="C70" s="2" t="s">
        <v>316</v>
      </c>
      <c r="D70" s="2" t="s">
        <v>791</v>
      </c>
      <c r="E70" s="2" t="s">
        <v>696</v>
      </c>
      <c r="F70" s="1" t="s">
        <v>159</v>
      </c>
      <c r="G70" s="1" t="s">
        <v>159</v>
      </c>
      <c r="H70" s="1" t="s">
        <v>159</v>
      </c>
      <c r="I70" s="1" t="s">
        <v>159</v>
      </c>
      <c r="J70" s="2" t="s">
        <v>26</v>
      </c>
      <c r="K70" s="2" t="s">
        <v>662</v>
      </c>
      <c r="L70" s="2" t="s">
        <v>662</v>
      </c>
      <c r="M70" s="2" t="s">
        <v>662</v>
      </c>
    </row>
    <row r="71">
      <c r="A71" s="3">
        <v>1.0</v>
      </c>
      <c r="B71" s="3">
        <v>16.0</v>
      </c>
      <c r="C71" s="2" t="s">
        <v>316</v>
      </c>
      <c r="D71" s="1" t="s">
        <v>159</v>
      </c>
      <c r="E71" s="2" t="s">
        <v>798</v>
      </c>
      <c r="F71" s="1" t="s">
        <v>159</v>
      </c>
      <c r="G71" s="1" t="s">
        <v>159</v>
      </c>
      <c r="H71" s="1" t="s">
        <v>159</v>
      </c>
      <c r="I71" s="1" t="s">
        <v>159</v>
      </c>
      <c r="J71" s="2" t="s">
        <v>20</v>
      </c>
      <c r="K71" s="2" t="s">
        <v>662</v>
      </c>
      <c r="L71" s="2" t="s">
        <v>662</v>
      </c>
      <c r="M71" s="2" t="s">
        <v>662</v>
      </c>
    </row>
    <row r="72">
      <c r="A72" s="3">
        <v>1.0</v>
      </c>
      <c r="B72" s="3">
        <v>17.0</v>
      </c>
      <c r="C72" s="2" t="s">
        <v>316</v>
      </c>
      <c r="D72" s="2" t="s">
        <v>805</v>
      </c>
      <c r="E72" s="2" t="s">
        <v>806</v>
      </c>
      <c r="F72" s="1" t="s">
        <v>159</v>
      </c>
      <c r="G72" s="1" t="s">
        <v>159</v>
      </c>
      <c r="H72" s="1" t="s">
        <v>159</v>
      </c>
      <c r="I72" s="1" t="s">
        <v>159</v>
      </c>
      <c r="J72" s="2">
        <v>208.0</v>
      </c>
      <c r="K72" s="2" t="s">
        <v>662</v>
      </c>
      <c r="L72" s="2" t="s">
        <v>662</v>
      </c>
      <c r="M72" s="2" t="s">
        <v>662</v>
      </c>
    </row>
    <row r="73">
      <c r="A73" s="3">
        <v>1.0</v>
      </c>
      <c r="B73" s="3">
        <v>18.0</v>
      </c>
      <c r="C73" s="2" t="s">
        <v>316</v>
      </c>
      <c r="D73" s="2" t="s">
        <v>808</v>
      </c>
      <c r="E73" s="1" t="s">
        <v>159</v>
      </c>
      <c r="F73" s="1" t="s">
        <v>159</v>
      </c>
      <c r="G73" s="1" t="s">
        <v>159</v>
      </c>
      <c r="H73" s="1" t="s">
        <v>159</v>
      </c>
      <c r="I73" s="1" t="s">
        <v>159</v>
      </c>
      <c r="J73" s="2">
        <v>15.0</v>
      </c>
      <c r="K73" s="2" t="s">
        <v>662</v>
      </c>
      <c r="L73" s="2" t="s">
        <v>662</v>
      </c>
      <c r="M73" s="2" t="s">
        <v>662</v>
      </c>
    </row>
    <row r="74">
      <c r="A74" s="3">
        <v>1.0</v>
      </c>
      <c r="B74" s="3">
        <v>19.0</v>
      </c>
      <c r="C74" s="2" t="s">
        <v>316</v>
      </c>
      <c r="D74" s="1" t="s">
        <v>159</v>
      </c>
      <c r="E74" s="2" t="s">
        <v>809</v>
      </c>
      <c r="F74" s="2">
        <v>40.0</v>
      </c>
      <c r="G74" s="2">
        <v>20.0</v>
      </c>
      <c r="H74" s="2">
        <v>10.0</v>
      </c>
      <c r="I74" s="6" t="s">
        <v>810</v>
      </c>
      <c r="J74" s="2">
        <v>20.0</v>
      </c>
      <c r="K74" s="2" t="s">
        <v>662</v>
      </c>
      <c r="L74" s="2" t="s">
        <v>662</v>
      </c>
      <c r="M74" s="2" t="s">
        <v>662</v>
      </c>
    </row>
    <row r="75">
      <c r="A75" s="3">
        <v>1.0</v>
      </c>
      <c r="B75" s="3">
        <v>20.0</v>
      </c>
      <c r="C75" s="2" t="s">
        <v>316</v>
      </c>
      <c r="D75" s="2" t="s">
        <v>811</v>
      </c>
      <c r="E75" s="2" t="s">
        <v>710</v>
      </c>
      <c r="F75" s="2" t="s">
        <v>711</v>
      </c>
      <c r="G75" s="8">
        <v>46048.0</v>
      </c>
      <c r="H75" s="2" t="s">
        <v>712</v>
      </c>
      <c r="I75" s="2" t="s">
        <v>713</v>
      </c>
      <c r="J75" s="2" t="s">
        <v>41</v>
      </c>
      <c r="K75" s="2" t="s">
        <v>662</v>
      </c>
      <c r="L75" s="2" t="s">
        <v>662</v>
      </c>
      <c r="M75" s="2" t="s">
        <v>662</v>
      </c>
      <c r="N75" s="7" t="str">
        <f>IMAGE("https://lh3.googleusercontent.com/d/1JLxN1ROw2s_03wKSLd9Kr-gwsra0JUp5")</f>
        <v/>
      </c>
    </row>
    <row r="76">
      <c r="A76" s="3">
        <v>1.0</v>
      </c>
      <c r="B76" s="3">
        <v>21.0</v>
      </c>
      <c r="C76" s="2" t="s">
        <v>316</v>
      </c>
      <c r="D76" s="6" t="s">
        <v>816</v>
      </c>
      <c r="E76" s="2" t="s">
        <v>817</v>
      </c>
      <c r="F76" s="2" t="s">
        <v>818</v>
      </c>
      <c r="G76" s="2" t="s">
        <v>820</v>
      </c>
      <c r="H76" s="2" t="s">
        <v>725</v>
      </c>
      <c r="I76" s="2" t="s">
        <v>781</v>
      </c>
      <c r="J76" s="2" t="s">
        <v>37</v>
      </c>
      <c r="K76" s="2" t="s">
        <v>662</v>
      </c>
      <c r="L76" s="2" t="s">
        <v>662</v>
      </c>
      <c r="M76" s="2" t="s">
        <v>662</v>
      </c>
    </row>
    <row r="77">
      <c r="A77" s="3">
        <v>1.0</v>
      </c>
      <c r="B77" s="3">
        <v>22.0</v>
      </c>
      <c r="C77" s="2" t="s">
        <v>316</v>
      </c>
      <c r="D77" s="1" t="s">
        <v>159</v>
      </c>
      <c r="E77" s="2" t="s">
        <v>821</v>
      </c>
      <c r="F77" s="2" t="s">
        <v>717</v>
      </c>
      <c r="G77" s="2" t="s">
        <v>718</v>
      </c>
      <c r="H77" s="2" t="s">
        <v>719</v>
      </c>
      <c r="I77" s="2" t="s">
        <v>720</v>
      </c>
      <c r="J77" s="2" t="s">
        <v>37</v>
      </c>
      <c r="K77" s="2" t="s">
        <v>662</v>
      </c>
      <c r="L77" s="2" t="s">
        <v>662</v>
      </c>
      <c r="M77" s="2" t="s">
        <v>662</v>
      </c>
    </row>
    <row r="78">
      <c r="A78" s="3">
        <v>1.0</v>
      </c>
      <c r="B78" s="3">
        <v>23.0</v>
      </c>
      <c r="C78" s="2" t="s">
        <v>316</v>
      </c>
      <c r="D78" s="1" t="s">
        <v>159</v>
      </c>
      <c r="E78" s="6" t="s">
        <v>827</v>
      </c>
      <c r="F78" s="2" t="s">
        <v>723</v>
      </c>
      <c r="G78" s="2" t="s">
        <v>724</v>
      </c>
      <c r="H78" s="2" t="s">
        <v>725</v>
      </c>
      <c r="I78" s="2" t="s">
        <v>726</v>
      </c>
      <c r="J78" s="2" t="s">
        <v>20</v>
      </c>
      <c r="K78" s="2" t="s">
        <v>662</v>
      </c>
      <c r="L78" s="2" t="s">
        <v>662</v>
      </c>
      <c r="M78" s="2" t="s">
        <v>662</v>
      </c>
    </row>
    <row r="79">
      <c r="A79" s="3">
        <v>1.0</v>
      </c>
      <c r="B79" s="3">
        <v>24.0</v>
      </c>
      <c r="C79" s="2" t="s">
        <v>316</v>
      </c>
      <c r="D79" s="1" t="s">
        <v>159</v>
      </c>
      <c r="E79" s="2" t="s">
        <v>830</v>
      </c>
      <c r="F79" s="1" t="s">
        <v>159</v>
      </c>
      <c r="G79" s="1" t="s">
        <v>159</v>
      </c>
      <c r="H79" s="1" t="s">
        <v>159</v>
      </c>
      <c r="I79" s="1" t="s">
        <v>159</v>
      </c>
      <c r="J79" s="2">
        <v>10.0</v>
      </c>
      <c r="K79" s="2" t="s">
        <v>662</v>
      </c>
      <c r="L79" s="2" t="s">
        <v>662</v>
      </c>
      <c r="M79" s="2" t="s">
        <v>662</v>
      </c>
    </row>
    <row r="80">
      <c r="A80" s="3">
        <v>1.0</v>
      </c>
      <c r="B80" s="3">
        <v>25.0</v>
      </c>
      <c r="C80" s="2" t="s">
        <v>316</v>
      </c>
      <c r="D80" s="2" t="s">
        <v>730</v>
      </c>
      <c r="E80" s="2" t="s">
        <v>832</v>
      </c>
      <c r="F80" s="2" t="s">
        <v>732</v>
      </c>
      <c r="G80" s="2" t="s">
        <v>733</v>
      </c>
      <c r="H80" s="2" t="s">
        <v>734</v>
      </c>
      <c r="I80" s="2" t="s">
        <v>735</v>
      </c>
      <c r="J80" s="2" t="s">
        <v>20</v>
      </c>
      <c r="K80" s="2" t="s">
        <v>662</v>
      </c>
      <c r="L80" s="2" t="s">
        <v>662</v>
      </c>
      <c r="M80" s="2" t="s">
        <v>662</v>
      </c>
    </row>
    <row r="81">
      <c r="A81" s="3">
        <v>1.0</v>
      </c>
      <c r="B81" s="3">
        <v>26.0</v>
      </c>
      <c r="C81" s="2" t="s">
        <v>316</v>
      </c>
      <c r="D81" s="4" t="s">
        <v>834</v>
      </c>
      <c r="E81" s="2" t="s">
        <v>696</v>
      </c>
      <c r="F81" s="1" t="str">
        <f>IMAGE("https://lh3.googleusercontent.com/d/1P-rA5UEfsK6-EkBVVxL7IuNAWH0B97Uz")</f>
        <v/>
      </c>
      <c r="G81" s="1" t="str">
        <f>IMAGE("https://lh3.googleusercontent.com/d/1K0qzo42JrrsnRw5zHajmUNtxKG1Z0_zY")</f>
        <v/>
      </c>
      <c r="H81" s="1" t="str">
        <f>IMAGE("https://lh3.googleusercontent.com/d/1SLT0BysMQ4SxNbtpNjr4jaXa9XeM74Y1")</f>
        <v/>
      </c>
      <c r="I81" s="1" t="str">
        <f>IMAGE("https://lh3.googleusercontent.com/d/1GoRohlWEvjdpa9hAcFgxNd7bB7fMYidv")</f>
        <v/>
      </c>
      <c r="J81" s="2" t="s">
        <v>26</v>
      </c>
      <c r="K81" s="2" t="s">
        <v>662</v>
      </c>
      <c r="L81" s="2" t="s">
        <v>662</v>
      </c>
      <c r="M81" s="2" t="s">
        <v>662</v>
      </c>
    </row>
    <row r="82">
      <c r="A82" s="3">
        <v>1.0</v>
      </c>
      <c r="B82" s="3">
        <v>27.0</v>
      </c>
      <c r="C82" s="2" t="s">
        <v>316</v>
      </c>
      <c r="D82" s="6" t="s">
        <v>840</v>
      </c>
      <c r="E82" s="2" t="s">
        <v>741</v>
      </c>
      <c r="F82" s="2">
        <v>1.0</v>
      </c>
      <c r="G82" s="2">
        <v>9.0</v>
      </c>
      <c r="H82" s="2">
        <v>15.0</v>
      </c>
      <c r="I82" s="2">
        <v>21.0</v>
      </c>
      <c r="J82" s="2">
        <v>15.0</v>
      </c>
      <c r="K82" s="2" t="s">
        <v>662</v>
      </c>
      <c r="L82" s="2" t="s">
        <v>662</v>
      </c>
      <c r="M82" s="2" t="s">
        <v>662</v>
      </c>
    </row>
    <row r="83">
      <c r="A83" s="3">
        <v>2.0</v>
      </c>
      <c r="B83" s="3">
        <v>1.0</v>
      </c>
      <c r="C83" s="2" t="s">
        <v>316</v>
      </c>
      <c r="D83" s="1" t="s">
        <v>159</v>
      </c>
      <c r="E83" s="2" t="s">
        <v>842</v>
      </c>
      <c r="F83" s="1" t="s">
        <v>159</v>
      </c>
      <c r="G83" s="1" t="s">
        <v>159</v>
      </c>
      <c r="H83" s="1" t="s">
        <v>159</v>
      </c>
      <c r="I83" s="1" t="s">
        <v>159</v>
      </c>
      <c r="J83" s="2">
        <v>211.0</v>
      </c>
      <c r="K83" s="2" t="s">
        <v>662</v>
      </c>
      <c r="L83" s="2" t="s">
        <v>662</v>
      </c>
      <c r="M83" s="2" t="s">
        <v>662</v>
      </c>
    </row>
    <row r="84">
      <c r="A84" s="3">
        <v>2.0</v>
      </c>
      <c r="B84" s="3">
        <v>2.0</v>
      </c>
      <c r="C84" s="2" t="s">
        <v>316</v>
      </c>
      <c r="D84" s="2" t="s">
        <v>844</v>
      </c>
      <c r="E84" s="2" t="s">
        <v>696</v>
      </c>
      <c r="F84" s="1" t="s">
        <v>159</v>
      </c>
      <c r="G84" s="1" t="s">
        <v>159</v>
      </c>
      <c r="H84" s="1" t="s">
        <v>159</v>
      </c>
      <c r="I84" s="1" t="s">
        <v>159</v>
      </c>
      <c r="J84" s="2" t="s">
        <v>845</v>
      </c>
      <c r="K84" s="2" t="s">
        <v>662</v>
      </c>
      <c r="L84" s="2" t="s">
        <v>662</v>
      </c>
      <c r="M84" s="2" t="s">
        <v>662</v>
      </c>
    </row>
    <row r="85">
      <c r="A85" s="3">
        <v>2.0</v>
      </c>
      <c r="B85" s="3">
        <v>3.0</v>
      </c>
      <c r="C85" s="2" t="s">
        <v>316</v>
      </c>
      <c r="D85" s="1" t="s">
        <v>159</v>
      </c>
      <c r="E85" s="2" t="s">
        <v>847</v>
      </c>
      <c r="F85" s="2" t="s">
        <v>848</v>
      </c>
      <c r="G85" s="2" t="s">
        <v>849</v>
      </c>
      <c r="H85" s="2" t="s">
        <v>850</v>
      </c>
      <c r="I85" s="2" t="s">
        <v>851</v>
      </c>
      <c r="J85" s="2" t="s">
        <v>20</v>
      </c>
      <c r="K85" s="2" t="s">
        <v>662</v>
      </c>
      <c r="L85" s="2" t="s">
        <v>662</v>
      </c>
      <c r="M85" s="2" t="s">
        <v>662</v>
      </c>
    </row>
    <row r="86">
      <c r="A86" s="3">
        <v>2.0</v>
      </c>
      <c r="B86" s="3">
        <v>4.0</v>
      </c>
      <c r="C86" s="2" t="s">
        <v>316</v>
      </c>
      <c r="D86" s="2" t="s">
        <v>749</v>
      </c>
      <c r="E86" s="2" t="s">
        <v>750</v>
      </c>
      <c r="F86" s="2" t="s">
        <v>853</v>
      </c>
      <c r="G86" s="2" t="s">
        <v>854</v>
      </c>
      <c r="H86" s="2" t="s">
        <v>753</v>
      </c>
      <c r="I86" s="2" t="s">
        <v>754</v>
      </c>
      <c r="J86" s="2" t="s">
        <v>37</v>
      </c>
      <c r="K86" s="2" t="s">
        <v>662</v>
      </c>
      <c r="L86" s="2" t="s">
        <v>662</v>
      </c>
      <c r="M86" s="2" t="s">
        <v>662</v>
      </c>
    </row>
    <row r="87">
      <c r="A87" s="3">
        <v>2.0</v>
      </c>
      <c r="B87" s="3">
        <v>5.0</v>
      </c>
      <c r="C87" s="2" t="s">
        <v>316</v>
      </c>
      <c r="D87" s="1" t="s">
        <v>159</v>
      </c>
      <c r="E87" s="2" t="s">
        <v>755</v>
      </c>
      <c r="F87" s="2">
        <v>3.0</v>
      </c>
      <c r="G87" s="2">
        <v>7.0</v>
      </c>
      <c r="H87" s="2">
        <v>32.0</v>
      </c>
      <c r="I87" s="2">
        <v>40.0</v>
      </c>
      <c r="J87" s="2" t="s">
        <v>41</v>
      </c>
      <c r="K87" s="2" t="s">
        <v>662</v>
      </c>
      <c r="L87" s="2" t="s">
        <v>662</v>
      </c>
      <c r="M87" s="2" t="s">
        <v>662</v>
      </c>
    </row>
    <row r="88">
      <c r="A88" s="3">
        <v>2.0</v>
      </c>
      <c r="B88" s="3">
        <v>6.0</v>
      </c>
      <c r="C88" s="2" t="s">
        <v>316</v>
      </c>
      <c r="D88" s="2" t="s">
        <v>858</v>
      </c>
      <c r="E88" s="2" t="s">
        <v>758</v>
      </c>
      <c r="F88" s="2">
        <v>39.17</v>
      </c>
      <c r="G88" s="2">
        <v>48.0</v>
      </c>
      <c r="H88" s="2">
        <v>52.22</v>
      </c>
      <c r="I88" s="2">
        <v>72.33</v>
      </c>
      <c r="J88" s="2">
        <v>39.17</v>
      </c>
      <c r="K88" s="2" t="s">
        <v>662</v>
      </c>
      <c r="L88" s="2" t="s">
        <v>662</v>
      </c>
      <c r="M88" s="2" t="s">
        <v>662</v>
      </c>
    </row>
    <row r="89">
      <c r="A89" s="3">
        <v>2.0</v>
      </c>
      <c r="B89" s="3">
        <v>7.0</v>
      </c>
      <c r="C89" s="2" t="s">
        <v>316</v>
      </c>
      <c r="D89" s="6" t="s">
        <v>860</v>
      </c>
      <c r="E89" s="2" t="s">
        <v>696</v>
      </c>
      <c r="F89" s="1" t="s">
        <v>159</v>
      </c>
      <c r="G89" s="1" t="s">
        <v>159</v>
      </c>
      <c r="H89" s="1" t="s">
        <v>159</v>
      </c>
      <c r="I89" s="1" t="s">
        <v>159</v>
      </c>
      <c r="J89" s="2" t="s">
        <v>26</v>
      </c>
      <c r="K89" s="2" t="s">
        <v>662</v>
      </c>
      <c r="L89" s="2" t="s">
        <v>662</v>
      </c>
      <c r="M89" s="2" t="s">
        <v>662</v>
      </c>
    </row>
    <row r="90">
      <c r="A90" s="3">
        <v>2.0</v>
      </c>
      <c r="B90" s="3">
        <v>8.0</v>
      </c>
      <c r="C90" s="2" t="s">
        <v>316</v>
      </c>
      <c r="D90" s="2" t="s">
        <v>696</v>
      </c>
      <c r="E90" s="2" t="s">
        <v>863</v>
      </c>
      <c r="F90" s="1" t="s">
        <v>159</v>
      </c>
      <c r="G90" s="1" t="s">
        <v>159</v>
      </c>
      <c r="H90" s="1" t="s">
        <v>159</v>
      </c>
      <c r="I90" s="1" t="s">
        <v>159</v>
      </c>
      <c r="J90" s="2" t="s">
        <v>41</v>
      </c>
      <c r="K90" s="2" t="s">
        <v>662</v>
      </c>
      <c r="L90" s="2" t="s">
        <v>662</v>
      </c>
      <c r="M90" s="2" t="s">
        <v>662</v>
      </c>
    </row>
    <row r="91">
      <c r="A91" s="3">
        <v>2.0</v>
      </c>
      <c r="B91" s="3">
        <v>9.0</v>
      </c>
      <c r="C91" s="2" t="s">
        <v>316</v>
      </c>
      <c r="D91" s="1" t="s">
        <v>159</v>
      </c>
      <c r="E91" s="2" t="s">
        <v>865</v>
      </c>
      <c r="F91" s="1" t="s">
        <v>159</v>
      </c>
      <c r="G91" s="1" t="s">
        <v>159</v>
      </c>
      <c r="H91" s="1" t="s">
        <v>159</v>
      </c>
      <c r="I91" s="1" t="s">
        <v>159</v>
      </c>
      <c r="J91" s="2">
        <v>26.0</v>
      </c>
      <c r="K91" s="2" t="s">
        <v>662</v>
      </c>
      <c r="L91" s="2" t="s">
        <v>662</v>
      </c>
      <c r="M91" s="2" t="s">
        <v>662</v>
      </c>
    </row>
    <row r="92">
      <c r="A92" s="3">
        <v>2.0</v>
      </c>
      <c r="B92" s="3">
        <v>10.0</v>
      </c>
      <c r="C92" s="2" t="s">
        <v>316</v>
      </c>
      <c r="D92" s="6" t="s">
        <v>867</v>
      </c>
      <c r="E92" s="2" t="s">
        <v>762</v>
      </c>
      <c r="F92" s="2">
        <v>34.0</v>
      </c>
      <c r="G92" s="2">
        <v>16.0</v>
      </c>
      <c r="H92" s="2">
        <v>15.0</v>
      </c>
      <c r="I92" s="2">
        <v>8.0</v>
      </c>
      <c r="J92" s="2" t="s">
        <v>26</v>
      </c>
      <c r="K92" s="2" t="s">
        <v>662</v>
      </c>
      <c r="L92" s="2" t="s">
        <v>662</v>
      </c>
      <c r="M92" s="2" t="s">
        <v>662</v>
      </c>
    </row>
    <row r="93">
      <c r="A93" s="3">
        <v>2.0</v>
      </c>
      <c r="B93" s="3">
        <v>11.0</v>
      </c>
      <c r="C93" s="2" t="s">
        <v>316</v>
      </c>
      <c r="D93" s="2" t="s">
        <v>869</v>
      </c>
      <c r="E93" s="2" t="s">
        <v>871</v>
      </c>
      <c r="F93" s="2">
        <v>9.0</v>
      </c>
      <c r="G93" s="2">
        <v>7.0</v>
      </c>
      <c r="H93" s="2">
        <v>5.0</v>
      </c>
      <c r="I93" s="2">
        <v>1.0</v>
      </c>
      <c r="J93" s="2" t="s">
        <v>41</v>
      </c>
      <c r="K93" s="2" t="s">
        <v>662</v>
      </c>
      <c r="L93" s="2" t="s">
        <v>662</v>
      </c>
      <c r="M93" s="2" t="s">
        <v>662</v>
      </c>
    </row>
    <row r="94">
      <c r="A94" s="3">
        <v>2.0</v>
      </c>
      <c r="B94" s="3">
        <v>12.0</v>
      </c>
      <c r="C94" s="2" t="s">
        <v>316</v>
      </c>
      <c r="D94" s="6" t="s">
        <v>873</v>
      </c>
      <c r="E94" s="2" t="s">
        <v>875</v>
      </c>
      <c r="F94" s="8">
        <v>46227.0</v>
      </c>
      <c r="G94" s="2" t="s">
        <v>765</v>
      </c>
      <c r="H94" s="2">
        <v>17.0</v>
      </c>
      <c r="I94" s="2">
        <v>31.0</v>
      </c>
      <c r="J94" s="2" t="s">
        <v>41</v>
      </c>
      <c r="K94" s="2" t="s">
        <v>662</v>
      </c>
      <c r="L94" s="2" t="s">
        <v>662</v>
      </c>
      <c r="M94" s="2" t="s">
        <v>662</v>
      </c>
    </row>
    <row r="95">
      <c r="A95" s="3">
        <v>2.0</v>
      </c>
      <c r="B95" s="3">
        <v>13.0</v>
      </c>
      <c r="C95" s="2" t="s">
        <v>316</v>
      </c>
      <c r="D95" s="2" t="s">
        <v>766</v>
      </c>
      <c r="E95" s="2" t="s">
        <v>877</v>
      </c>
      <c r="F95" s="1" t="s">
        <v>159</v>
      </c>
      <c r="G95" s="1" t="s">
        <v>159</v>
      </c>
      <c r="H95" s="1" t="s">
        <v>159</v>
      </c>
      <c r="I95" s="1" t="s">
        <v>159</v>
      </c>
      <c r="J95" s="2">
        <v>11.0</v>
      </c>
      <c r="K95" s="2" t="s">
        <v>662</v>
      </c>
      <c r="L95" s="2" t="s">
        <v>662</v>
      </c>
      <c r="M95" s="2" t="s">
        <v>662</v>
      </c>
    </row>
    <row r="96">
      <c r="A96" s="3">
        <v>2.0</v>
      </c>
      <c r="B96" s="3">
        <v>14.0</v>
      </c>
      <c r="C96" s="2" t="s">
        <v>316</v>
      </c>
      <c r="D96" s="2" t="s">
        <v>879</v>
      </c>
      <c r="E96" s="2" t="s">
        <v>880</v>
      </c>
      <c r="F96" s="2" t="s">
        <v>881</v>
      </c>
      <c r="G96" s="2" t="s">
        <v>882</v>
      </c>
      <c r="H96" s="2" t="s">
        <v>885</v>
      </c>
      <c r="I96" s="2" t="s">
        <v>886</v>
      </c>
      <c r="J96" s="2" t="s">
        <v>26</v>
      </c>
      <c r="K96" s="2" t="s">
        <v>662</v>
      </c>
      <c r="L96" s="2" t="s">
        <v>662</v>
      </c>
      <c r="M96" s="2" t="s">
        <v>662</v>
      </c>
    </row>
    <row r="97">
      <c r="A97" s="3">
        <v>2.0</v>
      </c>
      <c r="B97" s="3">
        <v>15.0</v>
      </c>
      <c r="C97" s="2" t="s">
        <v>316</v>
      </c>
      <c r="D97" s="1" t="s">
        <v>159</v>
      </c>
      <c r="E97" s="2" t="s">
        <v>887</v>
      </c>
      <c r="F97" s="1" t="s">
        <v>159</v>
      </c>
      <c r="G97" s="1" t="s">
        <v>159</v>
      </c>
      <c r="H97" s="1" t="s">
        <v>159</v>
      </c>
      <c r="I97" s="1" t="s">
        <v>159</v>
      </c>
      <c r="J97" s="6" t="s">
        <v>889</v>
      </c>
      <c r="K97" s="2" t="s">
        <v>662</v>
      </c>
      <c r="L97" s="2" t="s">
        <v>662</v>
      </c>
      <c r="M97" s="2" t="s">
        <v>662</v>
      </c>
    </row>
    <row r="98">
      <c r="A98" s="3">
        <v>2.0</v>
      </c>
      <c r="B98" s="3">
        <v>16.0</v>
      </c>
      <c r="C98" s="2" t="s">
        <v>316</v>
      </c>
      <c r="D98" s="1" t="s">
        <v>159</v>
      </c>
      <c r="E98" s="2" t="s">
        <v>777</v>
      </c>
      <c r="F98" s="2" t="s">
        <v>890</v>
      </c>
      <c r="G98" s="2" t="s">
        <v>891</v>
      </c>
      <c r="H98" s="2" t="s">
        <v>892</v>
      </c>
      <c r="I98" s="2" t="s">
        <v>893</v>
      </c>
      <c r="J98" s="2" t="s">
        <v>20</v>
      </c>
      <c r="K98" s="2" t="s">
        <v>662</v>
      </c>
      <c r="L98" s="2" t="s">
        <v>662</v>
      </c>
      <c r="M98" s="2" t="s">
        <v>662</v>
      </c>
    </row>
    <row r="99">
      <c r="A99" s="3">
        <v>2.0</v>
      </c>
      <c r="B99" s="3">
        <v>17.0</v>
      </c>
      <c r="C99" s="2" t="s">
        <v>316</v>
      </c>
      <c r="D99" s="1" t="s">
        <v>159</v>
      </c>
      <c r="E99" s="2" t="s">
        <v>783</v>
      </c>
      <c r="F99" s="2">
        <v>5.0</v>
      </c>
      <c r="G99" s="2">
        <v>4.0</v>
      </c>
      <c r="H99" s="2">
        <v>0.0</v>
      </c>
      <c r="I99" s="2">
        <v>-4.0</v>
      </c>
      <c r="J99" s="2" t="s">
        <v>41</v>
      </c>
      <c r="K99" s="2" t="s">
        <v>662</v>
      </c>
      <c r="L99" s="2" t="s">
        <v>662</v>
      </c>
      <c r="M99" s="2" t="s">
        <v>662</v>
      </c>
    </row>
    <row r="100">
      <c r="A100" s="3">
        <v>2.0</v>
      </c>
      <c r="B100" s="3">
        <v>18.0</v>
      </c>
      <c r="C100" s="2" t="s">
        <v>316</v>
      </c>
      <c r="D100" s="2" t="s">
        <v>895</v>
      </c>
      <c r="E100" s="2" t="s">
        <v>896</v>
      </c>
      <c r="F100" s="2">
        <v>-30.0</v>
      </c>
      <c r="G100" s="2">
        <v>-29.0</v>
      </c>
      <c r="H100" s="2">
        <v>-20.0</v>
      </c>
      <c r="I100" s="2">
        <v>-19.0</v>
      </c>
      <c r="J100" s="2" t="s">
        <v>41</v>
      </c>
      <c r="K100" s="2" t="s">
        <v>662</v>
      </c>
      <c r="L100" s="2" t="s">
        <v>662</v>
      </c>
      <c r="M100" s="2" t="s">
        <v>662</v>
      </c>
    </row>
    <row r="101">
      <c r="A101" s="3">
        <v>2.0</v>
      </c>
      <c r="B101" s="3">
        <v>19.0</v>
      </c>
      <c r="C101" s="2" t="s">
        <v>316</v>
      </c>
      <c r="D101" s="1" t="s">
        <v>159</v>
      </c>
      <c r="E101" s="6" t="s">
        <v>897</v>
      </c>
      <c r="F101" s="1" t="s">
        <v>159</v>
      </c>
      <c r="G101" s="1" t="s">
        <v>159</v>
      </c>
      <c r="H101" s="1" t="s">
        <v>159</v>
      </c>
      <c r="I101" s="1" t="s">
        <v>159</v>
      </c>
      <c r="J101" s="2">
        <v>0.0</v>
      </c>
      <c r="K101" s="2" t="s">
        <v>662</v>
      </c>
      <c r="L101" s="2" t="s">
        <v>662</v>
      </c>
      <c r="M101" s="2" t="s">
        <v>662</v>
      </c>
    </row>
    <row r="102">
      <c r="A102" s="3">
        <v>2.0</v>
      </c>
      <c r="B102" s="3">
        <v>20.0</v>
      </c>
      <c r="C102" s="2" t="s">
        <v>316</v>
      </c>
      <c r="D102" s="2" t="s">
        <v>899</v>
      </c>
      <c r="E102" s="2" t="s">
        <v>900</v>
      </c>
      <c r="F102" s="2" t="s">
        <v>901</v>
      </c>
      <c r="G102" s="2" t="s">
        <v>902</v>
      </c>
      <c r="H102" s="2" t="s">
        <v>903</v>
      </c>
      <c r="I102" s="2" t="s">
        <v>904</v>
      </c>
      <c r="J102" s="2" t="s">
        <v>37</v>
      </c>
      <c r="K102" s="2" t="s">
        <v>662</v>
      </c>
      <c r="L102" s="2" t="s">
        <v>662</v>
      </c>
      <c r="M102" s="2" t="s">
        <v>662</v>
      </c>
    </row>
    <row r="103">
      <c r="A103" s="3">
        <v>2.0</v>
      </c>
      <c r="B103" s="3">
        <v>21.0</v>
      </c>
      <c r="C103" s="2" t="s">
        <v>316</v>
      </c>
      <c r="D103" s="2" t="s">
        <v>696</v>
      </c>
      <c r="E103" s="2" t="s">
        <v>793</v>
      </c>
      <c r="F103" s="2" t="s">
        <v>905</v>
      </c>
      <c r="G103" s="2" t="s">
        <v>906</v>
      </c>
      <c r="H103" s="2" t="s">
        <v>907</v>
      </c>
      <c r="I103" s="2" t="s">
        <v>797</v>
      </c>
      <c r="J103" s="2" t="s">
        <v>37</v>
      </c>
      <c r="K103" s="2" t="s">
        <v>662</v>
      </c>
      <c r="L103" s="2" t="s">
        <v>662</v>
      </c>
      <c r="M103" s="2" t="s">
        <v>662</v>
      </c>
    </row>
    <row r="104">
      <c r="A104" s="3">
        <v>2.0</v>
      </c>
      <c r="B104" s="3">
        <v>22.0</v>
      </c>
      <c r="C104" s="2" t="s">
        <v>316</v>
      </c>
      <c r="D104" s="2" t="s">
        <v>799</v>
      </c>
      <c r="E104" s="2" t="s">
        <v>800</v>
      </c>
      <c r="F104" s="2" t="s">
        <v>801</v>
      </c>
      <c r="G104" s="2" t="s">
        <v>802</v>
      </c>
      <c r="H104" s="2" t="s">
        <v>803</v>
      </c>
      <c r="I104" s="2" t="s">
        <v>804</v>
      </c>
      <c r="J104" s="2" t="s">
        <v>26</v>
      </c>
      <c r="K104" s="2" t="s">
        <v>662</v>
      </c>
      <c r="L104" s="2" t="s">
        <v>662</v>
      </c>
      <c r="M104" s="2" t="s">
        <v>662</v>
      </c>
    </row>
    <row r="105">
      <c r="A105" s="3">
        <v>2.0</v>
      </c>
      <c r="B105" s="3">
        <v>23.0</v>
      </c>
      <c r="C105" s="2" t="s">
        <v>316</v>
      </c>
      <c r="D105" s="2" t="s">
        <v>908</v>
      </c>
      <c r="E105" s="2" t="s">
        <v>910</v>
      </c>
      <c r="F105" s="2" t="s">
        <v>911</v>
      </c>
      <c r="G105" s="2" t="s">
        <v>912</v>
      </c>
      <c r="H105" s="2" t="s">
        <v>913</v>
      </c>
      <c r="I105" s="2" t="s">
        <v>914</v>
      </c>
      <c r="J105" s="2" t="s">
        <v>20</v>
      </c>
      <c r="K105" s="2" t="s">
        <v>662</v>
      </c>
      <c r="L105" s="2" t="s">
        <v>662</v>
      </c>
      <c r="M105" s="2" t="s">
        <v>662</v>
      </c>
    </row>
    <row r="106">
      <c r="A106" s="3">
        <v>2.0</v>
      </c>
      <c r="B106" s="3">
        <v>24.0</v>
      </c>
      <c r="C106" s="2" t="s">
        <v>316</v>
      </c>
      <c r="D106" s="6" t="s">
        <v>915</v>
      </c>
      <c r="E106" s="2" t="s">
        <v>916</v>
      </c>
      <c r="F106" s="1" t="s">
        <v>159</v>
      </c>
      <c r="G106" s="1" t="s">
        <v>159</v>
      </c>
      <c r="H106" s="1" t="s">
        <v>159</v>
      </c>
      <c r="I106" s="1" t="s">
        <v>159</v>
      </c>
      <c r="J106" s="2">
        <v>8.0</v>
      </c>
      <c r="K106" s="2" t="s">
        <v>662</v>
      </c>
      <c r="L106" s="2" t="s">
        <v>662</v>
      </c>
      <c r="M106" s="2" t="s">
        <v>662</v>
      </c>
    </row>
    <row r="107">
      <c r="A107" s="3">
        <v>2.0</v>
      </c>
      <c r="B107" s="3">
        <v>25.0</v>
      </c>
      <c r="C107" s="2" t="s">
        <v>316</v>
      </c>
      <c r="D107" s="1" t="s">
        <v>159</v>
      </c>
      <c r="E107" s="2" t="s">
        <v>917</v>
      </c>
      <c r="F107" s="2">
        <v>-23.0</v>
      </c>
      <c r="G107" s="2">
        <v>13.0</v>
      </c>
      <c r="H107" s="1" t="s">
        <v>159</v>
      </c>
      <c r="I107" s="1" t="s">
        <v>159</v>
      </c>
      <c r="J107" s="2" t="s">
        <v>20</v>
      </c>
      <c r="K107" s="2" t="s">
        <v>662</v>
      </c>
      <c r="L107" s="2" t="s">
        <v>662</v>
      </c>
      <c r="M107" s="2" t="s">
        <v>662</v>
      </c>
    </row>
    <row r="108">
      <c r="A108" s="3">
        <v>2.0</v>
      </c>
      <c r="B108" s="3">
        <v>26.0</v>
      </c>
      <c r="C108" s="2" t="s">
        <v>316</v>
      </c>
      <c r="D108" s="6" t="s">
        <v>920</v>
      </c>
      <c r="E108" s="2" t="s">
        <v>921</v>
      </c>
      <c r="F108" s="11">
        <v>1375.0</v>
      </c>
      <c r="G108" s="2">
        <v>412.5</v>
      </c>
      <c r="H108" s="2">
        <v>275.0</v>
      </c>
      <c r="I108" s="2">
        <v>313.0</v>
      </c>
      <c r="J108" s="2" t="s">
        <v>20</v>
      </c>
      <c r="K108" s="2" t="s">
        <v>662</v>
      </c>
      <c r="L108" s="2" t="s">
        <v>662</v>
      </c>
      <c r="M108" s="2" t="s">
        <v>662</v>
      </c>
    </row>
    <row r="109">
      <c r="A109" s="3">
        <v>2.0</v>
      </c>
      <c r="B109" s="3">
        <v>27.0</v>
      </c>
      <c r="C109" s="2" t="s">
        <v>316</v>
      </c>
      <c r="D109" s="1" t="s">
        <v>159</v>
      </c>
      <c r="E109" s="2" t="s">
        <v>922</v>
      </c>
      <c r="F109" s="2" t="s">
        <v>923</v>
      </c>
      <c r="G109" s="2" t="s">
        <v>924</v>
      </c>
      <c r="H109" s="2" t="s">
        <v>925</v>
      </c>
      <c r="I109" s="2" t="s">
        <v>926</v>
      </c>
      <c r="J109" s="2" t="s">
        <v>41</v>
      </c>
      <c r="K109" s="2" t="s">
        <v>662</v>
      </c>
      <c r="L109" s="2" t="s">
        <v>662</v>
      </c>
      <c r="M109" s="2" t="s">
        <v>662</v>
      </c>
    </row>
    <row r="110">
      <c r="C110" s="2" t="s">
        <v>316</v>
      </c>
      <c r="D110" s="1" t="s">
        <v>159</v>
      </c>
      <c r="E110" s="2">
        <v>1.0</v>
      </c>
      <c r="F110" s="1" t="s">
        <v>159</v>
      </c>
      <c r="G110" s="1" t="s">
        <v>159</v>
      </c>
      <c r="H110" s="1" t="s">
        <v>159</v>
      </c>
      <c r="I110" s="2" t="s">
        <v>829</v>
      </c>
      <c r="J110" s="2" t="s">
        <v>26</v>
      </c>
      <c r="K110" s="2" t="s">
        <v>662</v>
      </c>
      <c r="L110" s="2" t="s">
        <v>662</v>
      </c>
      <c r="M110" s="2" t="s">
        <v>662</v>
      </c>
    </row>
    <row r="111">
      <c r="C111" s="2" t="s">
        <v>316</v>
      </c>
      <c r="D111" s="1" t="s">
        <v>159</v>
      </c>
      <c r="E111" s="2">
        <v>2.0</v>
      </c>
      <c r="F111" s="1" t="s">
        <v>159</v>
      </c>
      <c r="G111" s="1" t="s">
        <v>159</v>
      </c>
      <c r="H111" s="1" t="s">
        <v>159</v>
      </c>
      <c r="I111" s="2" t="s">
        <v>829</v>
      </c>
      <c r="J111" s="2" t="s">
        <v>41</v>
      </c>
      <c r="K111" s="2" t="s">
        <v>662</v>
      </c>
      <c r="L111" s="2" t="s">
        <v>662</v>
      </c>
      <c r="M111" s="2" t="s">
        <v>662</v>
      </c>
    </row>
    <row r="112">
      <c r="C112" s="2" t="s">
        <v>316</v>
      </c>
      <c r="D112" s="1" t="s">
        <v>159</v>
      </c>
      <c r="E112" s="2">
        <v>3.0</v>
      </c>
      <c r="F112" s="1" t="s">
        <v>159</v>
      </c>
      <c r="G112" s="1" t="s">
        <v>159</v>
      </c>
      <c r="H112" s="1" t="s">
        <v>159</v>
      </c>
      <c r="I112" s="2" t="s">
        <v>829</v>
      </c>
      <c r="J112" s="2" t="s">
        <v>20</v>
      </c>
      <c r="K112" s="2" t="s">
        <v>662</v>
      </c>
      <c r="L112" s="2" t="s">
        <v>662</v>
      </c>
      <c r="M112" s="2" t="s">
        <v>662</v>
      </c>
    </row>
    <row r="113">
      <c r="C113" s="2" t="s">
        <v>316</v>
      </c>
      <c r="D113" s="1" t="s">
        <v>159</v>
      </c>
      <c r="E113" s="2">
        <v>4.0</v>
      </c>
      <c r="F113" s="1" t="s">
        <v>159</v>
      </c>
      <c r="G113" s="1" t="s">
        <v>159</v>
      </c>
      <c r="H113" s="1" t="s">
        <v>159</v>
      </c>
      <c r="I113" s="2" t="s">
        <v>829</v>
      </c>
      <c r="J113" s="2" t="s">
        <v>26</v>
      </c>
      <c r="K113" s="2" t="s">
        <v>662</v>
      </c>
      <c r="L113" s="2" t="s">
        <v>662</v>
      </c>
      <c r="M113" s="2" t="s">
        <v>662</v>
      </c>
    </row>
    <row r="114">
      <c r="C114" s="2" t="s">
        <v>316</v>
      </c>
      <c r="D114" s="1" t="s">
        <v>159</v>
      </c>
      <c r="E114" s="2">
        <v>5.0</v>
      </c>
      <c r="F114" s="1" t="s">
        <v>159</v>
      </c>
      <c r="G114" s="1" t="s">
        <v>159</v>
      </c>
      <c r="H114" s="1" t="s">
        <v>159</v>
      </c>
      <c r="I114" s="2" t="s">
        <v>829</v>
      </c>
      <c r="J114" s="2" t="s">
        <v>41</v>
      </c>
      <c r="K114" s="2" t="s">
        <v>662</v>
      </c>
      <c r="L114" s="2" t="s">
        <v>662</v>
      </c>
      <c r="M114" s="2" t="s">
        <v>662</v>
      </c>
    </row>
    <row r="115">
      <c r="C115" s="2" t="s">
        <v>316</v>
      </c>
      <c r="D115" s="1" t="s">
        <v>159</v>
      </c>
      <c r="E115" s="2">
        <v>6.0</v>
      </c>
      <c r="F115" s="1" t="s">
        <v>159</v>
      </c>
      <c r="G115" s="1" t="s">
        <v>159</v>
      </c>
      <c r="H115" s="1" t="s">
        <v>159</v>
      </c>
      <c r="I115" s="2" t="s">
        <v>829</v>
      </c>
      <c r="J115" s="2" t="s">
        <v>37</v>
      </c>
      <c r="K115" s="2" t="s">
        <v>662</v>
      </c>
      <c r="L115" s="2" t="s">
        <v>662</v>
      </c>
      <c r="M115" s="2" t="s">
        <v>662</v>
      </c>
    </row>
    <row r="116">
      <c r="C116" s="2" t="s">
        <v>316</v>
      </c>
      <c r="D116" s="1" t="s">
        <v>159</v>
      </c>
      <c r="E116" s="2">
        <v>7.0</v>
      </c>
      <c r="F116" s="1" t="s">
        <v>159</v>
      </c>
      <c r="G116" s="1" t="s">
        <v>159</v>
      </c>
      <c r="H116" s="1" t="s">
        <v>159</v>
      </c>
      <c r="I116" s="2" t="s">
        <v>829</v>
      </c>
      <c r="J116" s="2" t="s">
        <v>41</v>
      </c>
      <c r="K116" s="2" t="s">
        <v>662</v>
      </c>
      <c r="L116" s="2" t="s">
        <v>662</v>
      </c>
      <c r="M116" s="2" t="s">
        <v>662</v>
      </c>
    </row>
    <row r="117">
      <c r="C117" s="2" t="s">
        <v>316</v>
      </c>
      <c r="D117" s="1" t="s">
        <v>159</v>
      </c>
      <c r="E117" s="2">
        <v>8.0</v>
      </c>
      <c r="F117" s="1" t="s">
        <v>159</v>
      </c>
      <c r="G117" s="1" t="s">
        <v>159</v>
      </c>
      <c r="H117" s="1" t="s">
        <v>159</v>
      </c>
      <c r="I117" s="2" t="s">
        <v>829</v>
      </c>
      <c r="J117" s="2" t="s">
        <v>20</v>
      </c>
      <c r="K117" s="2" t="s">
        <v>662</v>
      </c>
      <c r="L117" s="2" t="s">
        <v>662</v>
      </c>
      <c r="M117" s="2" t="s">
        <v>662</v>
      </c>
    </row>
    <row r="118">
      <c r="C118" s="2" t="s">
        <v>316</v>
      </c>
      <c r="D118" s="1" t="s">
        <v>159</v>
      </c>
      <c r="E118" s="2">
        <v>9.0</v>
      </c>
      <c r="F118" s="1" t="s">
        <v>159</v>
      </c>
      <c r="G118" s="1" t="s">
        <v>159</v>
      </c>
      <c r="H118" s="1" t="s">
        <v>159</v>
      </c>
      <c r="I118" s="2" t="s">
        <v>829</v>
      </c>
      <c r="J118" s="2" t="s">
        <v>20</v>
      </c>
      <c r="K118" s="2" t="s">
        <v>662</v>
      </c>
      <c r="L118" s="2" t="s">
        <v>662</v>
      </c>
      <c r="M118" s="2" t="s">
        <v>662</v>
      </c>
    </row>
    <row r="119">
      <c r="C119" s="2" t="s">
        <v>316</v>
      </c>
      <c r="D119" s="1" t="s">
        <v>159</v>
      </c>
      <c r="E119" s="2">
        <v>10.0</v>
      </c>
      <c r="F119" s="1" t="s">
        <v>159</v>
      </c>
      <c r="G119" s="1" t="s">
        <v>159</v>
      </c>
      <c r="H119" s="1" t="s">
        <v>159</v>
      </c>
      <c r="I119" s="2" t="s">
        <v>829</v>
      </c>
      <c r="J119" s="2" t="s">
        <v>26</v>
      </c>
      <c r="K119" s="2" t="s">
        <v>662</v>
      </c>
      <c r="L119" s="2" t="s">
        <v>662</v>
      </c>
      <c r="M119" s="2" t="s">
        <v>662</v>
      </c>
    </row>
    <row r="120">
      <c r="C120" s="2" t="s">
        <v>316</v>
      </c>
      <c r="D120" s="1" t="s">
        <v>159</v>
      </c>
      <c r="E120" s="2">
        <v>11.0</v>
      </c>
      <c r="F120" s="1" t="s">
        <v>159</v>
      </c>
      <c r="G120" s="1" t="s">
        <v>159</v>
      </c>
      <c r="H120" s="1" t="s">
        <v>159</v>
      </c>
      <c r="I120" s="2" t="s">
        <v>829</v>
      </c>
      <c r="J120" s="2" t="s">
        <v>26</v>
      </c>
      <c r="K120" s="2" t="s">
        <v>662</v>
      </c>
      <c r="L120" s="2" t="s">
        <v>662</v>
      </c>
      <c r="M120" s="2" t="s">
        <v>662</v>
      </c>
    </row>
    <row r="121">
      <c r="C121" s="2" t="s">
        <v>316</v>
      </c>
      <c r="D121" s="1" t="s">
        <v>159</v>
      </c>
      <c r="E121" s="2">
        <v>12.0</v>
      </c>
      <c r="F121" s="1" t="s">
        <v>159</v>
      </c>
      <c r="G121" s="1" t="s">
        <v>159</v>
      </c>
      <c r="H121" s="1" t="s">
        <v>159</v>
      </c>
      <c r="I121" s="2" t="s">
        <v>829</v>
      </c>
      <c r="J121" s="2" t="s">
        <v>37</v>
      </c>
      <c r="K121" s="2" t="s">
        <v>662</v>
      </c>
      <c r="L121" s="2" t="s">
        <v>662</v>
      </c>
      <c r="M121" s="2" t="s">
        <v>662</v>
      </c>
    </row>
    <row r="122">
      <c r="C122" s="2" t="s">
        <v>316</v>
      </c>
      <c r="D122" s="1" t="s">
        <v>159</v>
      </c>
      <c r="E122" s="2">
        <v>13.0</v>
      </c>
      <c r="F122" s="1" t="s">
        <v>159</v>
      </c>
      <c r="G122" s="1" t="s">
        <v>159</v>
      </c>
      <c r="H122" s="1" t="s">
        <v>159</v>
      </c>
      <c r="I122" s="2" t="s">
        <v>829</v>
      </c>
      <c r="J122" s="2" t="s">
        <v>41</v>
      </c>
      <c r="K122" s="2" t="s">
        <v>662</v>
      </c>
      <c r="L122" s="2" t="s">
        <v>662</v>
      </c>
      <c r="M122" s="2" t="s">
        <v>662</v>
      </c>
    </row>
    <row r="123">
      <c r="C123" s="2" t="s">
        <v>316</v>
      </c>
      <c r="D123" s="1" t="s">
        <v>159</v>
      </c>
      <c r="E123" s="2">
        <v>14.0</v>
      </c>
      <c r="F123" s="1" t="s">
        <v>159</v>
      </c>
      <c r="G123" s="1" t="s">
        <v>159</v>
      </c>
      <c r="H123" s="1" t="s">
        <v>159</v>
      </c>
      <c r="I123" s="2" t="s">
        <v>829</v>
      </c>
      <c r="J123" s="2" t="s">
        <v>41</v>
      </c>
      <c r="K123" s="2" t="s">
        <v>662</v>
      </c>
      <c r="L123" s="2" t="s">
        <v>662</v>
      </c>
      <c r="M123" s="2" t="s">
        <v>662</v>
      </c>
    </row>
    <row r="124">
      <c r="C124" s="2" t="s">
        <v>316</v>
      </c>
      <c r="D124" s="1" t="s">
        <v>159</v>
      </c>
      <c r="E124" s="2">
        <v>15.0</v>
      </c>
      <c r="F124" s="1" t="s">
        <v>159</v>
      </c>
      <c r="G124" s="1" t="s">
        <v>159</v>
      </c>
      <c r="H124" s="1" t="s">
        <v>159</v>
      </c>
      <c r="I124" s="2" t="s">
        <v>829</v>
      </c>
      <c r="J124" s="2" t="s">
        <v>41</v>
      </c>
      <c r="K124" s="2" t="s">
        <v>662</v>
      </c>
      <c r="L124" s="2" t="s">
        <v>662</v>
      </c>
      <c r="M124" s="2" t="s">
        <v>662</v>
      </c>
    </row>
    <row r="125">
      <c r="C125" s="2" t="s">
        <v>316</v>
      </c>
      <c r="D125" s="1" t="s">
        <v>159</v>
      </c>
      <c r="E125" s="2">
        <v>16.0</v>
      </c>
      <c r="F125" s="1" t="s">
        <v>159</v>
      </c>
      <c r="G125" s="1" t="s">
        <v>159</v>
      </c>
      <c r="H125" s="1" t="s">
        <v>159</v>
      </c>
      <c r="I125" s="2" t="s">
        <v>829</v>
      </c>
      <c r="J125" s="2" t="s">
        <v>41</v>
      </c>
      <c r="K125" s="2" t="s">
        <v>662</v>
      </c>
      <c r="L125" s="2" t="s">
        <v>662</v>
      </c>
      <c r="M125" s="2" t="s">
        <v>662</v>
      </c>
    </row>
    <row r="126">
      <c r="C126" s="2" t="s">
        <v>316</v>
      </c>
      <c r="D126" s="1" t="s">
        <v>159</v>
      </c>
      <c r="E126" s="2">
        <v>17.0</v>
      </c>
      <c r="F126" s="1" t="s">
        <v>159</v>
      </c>
      <c r="G126" s="1" t="s">
        <v>159</v>
      </c>
      <c r="H126" s="1" t="s">
        <v>159</v>
      </c>
      <c r="I126" s="2" t="s">
        <v>829</v>
      </c>
      <c r="J126" s="2" t="s">
        <v>41</v>
      </c>
      <c r="K126" s="2" t="s">
        <v>662</v>
      </c>
      <c r="L126" s="2" t="s">
        <v>662</v>
      </c>
      <c r="M126" s="2" t="s">
        <v>662</v>
      </c>
    </row>
    <row r="127">
      <c r="C127" s="2" t="s">
        <v>316</v>
      </c>
      <c r="D127" s="1" t="s">
        <v>159</v>
      </c>
      <c r="E127" s="2">
        <v>18.0</v>
      </c>
      <c r="F127" s="1" t="s">
        <v>159</v>
      </c>
      <c r="G127" s="1" t="s">
        <v>159</v>
      </c>
      <c r="H127" s="1" t="s">
        <v>159</v>
      </c>
      <c r="I127" s="2" t="s">
        <v>829</v>
      </c>
      <c r="J127" s="2" t="s">
        <v>26</v>
      </c>
      <c r="K127" s="2" t="s">
        <v>662</v>
      </c>
      <c r="L127" s="2" t="s">
        <v>662</v>
      </c>
      <c r="M127" s="2" t="s">
        <v>662</v>
      </c>
    </row>
    <row r="128">
      <c r="C128" s="2" t="s">
        <v>316</v>
      </c>
      <c r="D128" s="1" t="s">
        <v>159</v>
      </c>
      <c r="E128" s="2">
        <v>19.0</v>
      </c>
      <c r="F128" s="1" t="s">
        <v>159</v>
      </c>
      <c r="G128" s="1" t="s">
        <v>159</v>
      </c>
      <c r="H128" s="1" t="s">
        <v>159</v>
      </c>
      <c r="I128" s="2" t="s">
        <v>829</v>
      </c>
      <c r="J128" s="2" t="s">
        <v>20</v>
      </c>
      <c r="K128" s="2" t="s">
        <v>662</v>
      </c>
      <c r="L128" s="2" t="s">
        <v>662</v>
      </c>
      <c r="M128" s="2" t="s">
        <v>662</v>
      </c>
    </row>
    <row r="129">
      <c r="C129" s="2" t="s">
        <v>316</v>
      </c>
      <c r="D129" s="1" t="s">
        <v>159</v>
      </c>
      <c r="E129" s="2">
        <v>20.0</v>
      </c>
      <c r="F129" s="1" t="s">
        <v>159</v>
      </c>
      <c r="G129" s="1" t="s">
        <v>159</v>
      </c>
      <c r="H129" s="1" t="s">
        <v>159</v>
      </c>
      <c r="I129" s="2" t="s">
        <v>829</v>
      </c>
      <c r="J129" s="2" t="s">
        <v>20</v>
      </c>
      <c r="K129" s="2" t="s">
        <v>662</v>
      </c>
      <c r="L129" s="2" t="s">
        <v>662</v>
      </c>
      <c r="M129" s="2" t="s">
        <v>662</v>
      </c>
    </row>
    <row r="130">
      <c r="C130" s="2" t="s">
        <v>316</v>
      </c>
      <c r="D130" s="1" t="s">
        <v>159</v>
      </c>
      <c r="E130" s="2">
        <v>21.0</v>
      </c>
      <c r="F130" s="1" t="s">
        <v>159</v>
      </c>
      <c r="G130" s="1" t="s">
        <v>159</v>
      </c>
      <c r="H130" s="1" t="s">
        <v>159</v>
      </c>
      <c r="I130" s="2" t="s">
        <v>829</v>
      </c>
      <c r="J130" s="2" t="s">
        <v>37</v>
      </c>
      <c r="K130" s="2" t="s">
        <v>662</v>
      </c>
      <c r="L130" s="2" t="s">
        <v>662</v>
      </c>
      <c r="M130" s="2" t="s">
        <v>662</v>
      </c>
    </row>
    <row r="131">
      <c r="C131" s="2" t="s">
        <v>316</v>
      </c>
      <c r="D131" s="1" t="s">
        <v>159</v>
      </c>
      <c r="E131" s="2">
        <v>22.0</v>
      </c>
      <c r="F131" s="1" t="s">
        <v>159</v>
      </c>
      <c r="G131" s="1" t="s">
        <v>159</v>
      </c>
      <c r="H131" s="1" t="s">
        <v>159</v>
      </c>
      <c r="I131" s="2" t="s">
        <v>829</v>
      </c>
      <c r="J131" s="2" t="s">
        <v>26</v>
      </c>
      <c r="K131" s="2" t="s">
        <v>662</v>
      </c>
      <c r="L131" s="2" t="s">
        <v>662</v>
      </c>
      <c r="M131" s="2" t="s">
        <v>662</v>
      </c>
    </row>
    <row r="132">
      <c r="C132" s="2" t="s">
        <v>316</v>
      </c>
      <c r="D132" s="1" t="s">
        <v>159</v>
      </c>
      <c r="E132" s="2">
        <v>23.0</v>
      </c>
      <c r="F132" s="1" t="s">
        <v>159</v>
      </c>
      <c r="G132" s="1" t="s">
        <v>159</v>
      </c>
      <c r="H132" s="1" t="s">
        <v>159</v>
      </c>
      <c r="I132" s="2" t="s">
        <v>829</v>
      </c>
      <c r="J132" s="2" t="s">
        <v>20</v>
      </c>
      <c r="K132" s="2" t="s">
        <v>662</v>
      </c>
      <c r="L132" s="2" t="s">
        <v>662</v>
      </c>
      <c r="M132" s="2" t="s">
        <v>662</v>
      </c>
    </row>
    <row r="133">
      <c r="C133" s="2" t="s">
        <v>316</v>
      </c>
      <c r="D133" s="1" t="s">
        <v>159</v>
      </c>
      <c r="E133" s="2">
        <v>24.0</v>
      </c>
      <c r="F133" s="1" t="s">
        <v>159</v>
      </c>
      <c r="G133" s="1" t="s">
        <v>159</v>
      </c>
      <c r="H133" s="1" t="s">
        <v>159</v>
      </c>
      <c r="I133" s="2" t="s">
        <v>829</v>
      </c>
      <c r="J133" s="2" t="s">
        <v>20</v>
      </c>
      <c r="K133" s="2" t="s">
        <v>662</v>
      </c>
      <c r="L133" s="2" t="s">
        <v>662</v>
      </c>
      <c r="M133" s="2" t="s">
        <v>662</v>
      </c>
    </row>
    <row r="134">
      <c r="C134" s="2" t="s">
        <v>316</v>
      </c>
      <c r="D134" s="1" t="s">
        <v>159</v>
      </c>
      <c r="E134" s="2">
        <v>25.0</v>
      </c>
      <c r="F134" s="1" t="s">
        <v>159</v>
      </c>
      <c r="G134" s="1" t="s">
        <v>159</v>
      </c>
      <c r="H134" s="1" t="s">
        <v>159</v>
      </c>
      <c r="I134" s="2" t="s">
        <v>829</v>
      </c>
      <c r="J134" s="2" t="s">
        <v>41</v>
      </c>
      <c r="K134" s="2" t="s">
        <v>662</v>
      </c>
      <c r="L134" s="2" t="s">
        <v>662</v>
      </c>
      <c r="M134" s="2" t="s">
        <v>662</v>
      </c>
    </row>
    <row r="135">
      <c r="C135" s="2" t="s">
        <v>316</v>
      </c>
      <c r="D135" s="1" t="s">
        <v>159</v>
      </c>
      <c r="E135" s="2">
        <v>26.0</v>
      </c>
      <c r="F135" s="1" t="s">
        <v>159</v>
      </c>
      <c r="G135" s="1" t="s">
        <v>159</v>
      </c>
      <c r="H135" s="1" t="s">
        <v>159</v>
      </c>
      <c r="I135" s="2" t="s">
        <v>829</v>
      </c>
      <c r="J135" s="2" t="s">
        <v>41</v>
      </c>
      <c r="K135" s="2" t="s">
        <v>662</v>
      </c>
      <c r="L135" s="2" t="s">
        <v>662</v>
      </c>
      <c r="M135" s="2" t="s">
        <v>662</v>
      </c>
    </row>
    <row r="136">
      <c r="C136" s="2" t="s">
        <v>316</v>
      </c>
      <c r="D136" s="1" t="s">
        <v>159</v>
      </c>
      <c r="E136" s="2">
        <v>27.0</v>
      </c>
      <c r="F136" s="1" t="s">
        <v>159</v>
      </c>
      <c r="G136" s="1" t="s">
        <v>159</v>
      </c>
      <c r="H136" s="1" t="s">
        <v>159</v>
      </c>
      <c r="I136" s="2" t="s">
        <v>829</v>
      </c>
      <c r="J136" s="2" t="s">
        <v>20</v>
      </c>
      <c r="K136" s="2" t="s">
        <v>662</v>
      </c>
      <c r="L136" s="2" t="s">
        <v>662</v>
      </c>
      <c r="M136" s="2" t="s">
        <v>662</v>
      </c>
    </row>
    <row r="137">
      <c r="C137" s="2" t="s">
        <v>316</v>
      </c>
      <c r="D137" s="1" t="s">
        <v>159</v>
      </c>
      <c r="E137" s="2">
        <v>1.0</v>
      </c>
      <c r="F137" s="1" t="s">
        <v>159</v>
      </c>
      <c r="G137" s="1" t="s">
        <v>159</v>
      </c>
      <c r="H137" s="1" t="s">
        <v>159</v>
      </c>
      <c r="I137" s="1" t="s">
        <v>159</v>
      </c>
      <c r="J137" s="2">
        <v>560.0</v>
      </c>
      <c r="K137" s="2" t="s">
        <v>662</v>
      </c>
      <c r="L137" s="2" t="s">
        <v>662</v>
      </c>
      <c r="M137" s="2" t="s">
        <v>662</v>
      </c>
    </row>
    <row r="138">
      <c r="C138" s="2" t="s">
        <v>316</v>
      </c>
      <c r="D138" s="1" t="s">
        <v>159</v>
      </c>
      <c r="E138" s="2">
        <v>2.0</v>
      </c>
      <c r="F138" s="1" t="s">
        <v>159</v>
      </c>
      <c r="G138" s="1" t="s">
        <v>159</v>
      </c>
      <c r="H138" s="1" t="s">
        <v>159</v>
      </c>
      <c r="I138" s="2" t="s">
        <v>829</v>
      </c>
      <c r="J138" s="2" t="s">
        <v>26</v>
      </c>
      <c r="K138" s="2" t="s">
        <v>662</v>
      </c>
      <c r="L138" s="2" t="s">
        <v>662</v>
      </c>
      <c r="M138" s="2" t="s">
        <v>662</v>
      </c>
    </row>
    <row r="139">
      <c r="C139" s="2" t="s">
        <v>316</v>
      </c>
      <c r="D139" s="1" t="s">
        <v>159</v>
      </c>
      <c r="E139" s="2">
        <v>3.0</v>
      </c>
      <c r="F139" s="1" t="s">
        <v>159</v>
      </c>
      <c r="G139" s="1" t="s">
        <v>159</v>
      </c>
      <c r="H139" s="1" t="s">
        <v>159</v>
      </c>
      <c r="I139" s="2" t="s">
        <v>829</v>
      </c>
      <c r="J139" s="2" t="s">
        <v>26</v>
      </c>
      <c r="K139" s="2" t="s">
        <v>662</v>
      </c>
      <c r="L139" s="2" t="s">
        <v>662</v>
      </c>
      <c r="M139" s="2" t="s">
        <v>662</v>
      </c>
    </row>
    <row r="140">
      <c r="C140" s="2" t="s">
        <v>316</v>
      </c>
      <c r="D140" s="1" t="s">
        <v>159</v>
      </c>
      <c r="E140" s="2">
        <v>4.0</v>
      </c>
      <c r="F140" s="1" t="s">
        <v>159</v>
      </c>
      <c r="G140" s="1" t="s">
        <v>159</v>
      </c>
      <c r="H140" s="1" t="s">
        <v>159</v>
      </c>
      <c r="I140" s="2" t="s">
        <v>829</v>
      </c>
      <c r="J140" s="2" t="s">
        <v>26</v>
      </c>
      <c r="K140" s="2" t="s">
        <v>662</v>
      </c>
      <c r="L140" s="2" t="s">
        <v>662</v>
      </c>
      <c r="M140" s="2" t="s">
        <v>662</v>
      </c>
    </row>
    <row r="141">
      <c r="C141" s="2" t="s">
        <v>316</v>
      </c>
      <c r="D141" s="1" t="s">
        <v>159</v>
      </c>
      <c r="E141" s="2">
        <v>5.0</v>
      </c>
      <c r="F141" s="1" t="s">
        <v>159</v>
      </c>
      <c r="G141" s="1" t="s">
        <v>159</v>
      </c>
      <c r="H141" s="1" t="s">
        <v>159</v>
      </c>
      <c r="I141" s="1" t="s">
        <v>159</v>
      </c>
      <c r="J141" s="2">
        <v>5900.0</v>
      </c>
      <c r="K141" s="2" t="s">
        <v>662</v>
      </c>
      <c r="L141" s="2" t="s">
        <v>662</v>
      </c>
      <c r="M141" s="2" t="s">
        <v>662</v>
      </c>
    </row>
    <row r="142">
      <c r="C142" s="2" t="s">
        <v>316</v>
      </c>
      <c r="D142" s="1" t="s">
        <v>159</v>
      </c>
      <c r="E142" s="2" t="s">
        <v>943</v>
      </c>
      <c r="F142" s="2">
        <v>1.2</v>
      </c>
      <c r="G142" s="2">
        <v>2.4</v>
      </c>
      <c r="H142" s="2">
        <v>3.6</v>
      </c>
      <c r="I142" s="2">
        <v>4.8</v>
      </c>
      <c r="J142" s="2">
        <v>1.2</v>
      </c>
      <c r="K142" s="2" t="s">
        <v>662</v>
      </c>
      <c r="L142" s="2" t="s">
        <v>662</v>
      </c>
      <c r="M142" s="2" t="s">
        <v>662</v>
      </c>
    </row>
    <row r="143">
      <c r="C143" s="2" t="s">
        <v>316</v>
      </c>
      <c r="D143" s="1" t="s">
        <v>159</v>
      </c>
      <c r="E143" s="2" t="s">
        <v>944</v>
      </c>
      <c r="F143" s="2" t="s">
        <v>945</v>
      </c>
      <c r="G143" s="2" t="s">
        <v>946</v>
      </c>
      <c r="H143" s="2" t="s">
        <v>947</v>
      </c>
      <c r="I143" s="2" t="s">
        <v>949</v>
      </c>
      <c r="J143" s="2" t="s">
        <v>37</v>
      </c>
      <c r="K143" s="2" t="s">
        <v>662</v>
      </c>
      <c r="L143" s="2" t="s">
        <v>662</v>
      </c>
      <c r="M143" s="2" t="s">
        <v>662</v>
      </c>
    </row>
    <row r="144">
      <c r="C144" s="2" t="s">
        <v>316</v>
      </c>
      <c r="D144" s="1" t="s">
        <v>159</v>
      </c>
      <c r="E144" s="2" t="s">
        <v>950</v>
      </c>
      <c r="F144" s="2" t="s">
        <v>951</v>
      </c>
      <c r="G144" s="2" t="s">
        <v>952</v>
      </c>
      <c r="H144" s="2" t="s">
        <v>953</v>
      </c>
      <c r="I144" s="2" t="s">
        <v>954</v>
      </c>
      <c r="J144" s="2" t="s">
        <v>26</v>
      </c>
      <c r="K144" s="2" t="s">
        <v>662</v>
      </c>
      <c r="L144" s="2" t="s">
        <v>662</v>
      </c>
      <c r="M144" s="2" t="s">
        <v>662</v>
      </c>
    </row>
    <row r="145">
      <c r="C145" s="2" t="s">
        <v>316</v>
      </c>
      <c r="D145" s="1" t="s">
        <v>159</v>
      </c>
      <c r="E145" s="2" t="s">
        <v>955</v>
      </c>
      <c r="F145" s="2">
        <v>60.0</v>
      </c>
      <c r="G145" s="2">
        <v>120.0</v>
      </c>
      <c r="H145" s="2">
        <v>240.0</v>
      </c>
      <c r="I145" s="2">
        <v>720.0</v>
      </c>
      <c r="J145" s="2" t="s">
        <v>26</v>
      </c>
      <c r="K145" s="2" t="s">
        <v>662</v>
      </c>
      <c r="L145" s="2" t="s">
        <v>662</v>
      </c>
      <c r="M145" s="2" t="s">
        <v>662</v>
      </c>
    </row>
    <row r="146">
      <c r="C146" s="2" t="s">
        <v>316</v>
      </c>
      <c r="D146" s="1" t="s">
        <v>159</v>
      </c>
      <c r="E146" s="2" t="s">
        <v>957</v>
      </c>
      <c r="F146" s="2">
        <v>10.0</v>
      </c>
      <c r="G146" s="2">
        <v>15.0</v>
      </c>
      <c r="H146" s="2">
        <v>25.0</v>
      </c>
      <c r="I146" s="2">
        <v>35.0</v>
      </c>
      <c r="J146" s="2">
        <v>15.0</v>
      </c>
      <c r="K146" s="2" t="s">
        <v>662</v>
      </c>
      <c r="L146" s="2" t="s">
        <v>662</v>
      </c>
      <c r="M146" s="2" t="s">
        <v>662</v>
      </c>
    </row>
    <row r="147">
      <c r="C147" s="2" t="s">
        <v>316</v>
      </c>
      <c r="D147" s="1" t="s">
        <v>159</v>
      </c>
      <c r="E147" s="6" t="s">
        <v>959</v>
      </c>
      <c r="F147" s="2" t="s">
        <v>960</v>
      </c>
      <c r="G147" s="6" t="s">
        <v>961</v>
      </c>
      <c r="H147" s="6" t="s">
        <v>962</v>
      </c>
      <c r="I147" s="2" t="s">
        <v>963</v>
      </c>
      <c r="J147" s="2" t="s">
        <v>26</v>
      </c>
      <c r="K147" s="2" t="s">
        <v>662</v>
      </c>
      <c r="L147" s="2" t="s">
        <v>662</v>
      </c>
      <c r="M147" s="2" t="s">
        <v>662</v>
      </c>
    </row>
    <row r="148">
      <c r="C148" s="2" t="s">
        <v>316</v>
      </c>
      <c r="D148" s="1" t="s">
        <v>159</v>
      </c>
      <c r="E148" s="2" t="s">
        <v>964</v>
      </c>
      <c r="F148" s="2" t="s">
        <v>965</v>
      </c>
      <c r="G148" s="2" t="s">
        <v>966</v>
      </c>
      <c r="H148" s="2" t="s">
        <v>967</v>
      </c>
      <c r="I148" s="2" t="s">
        <v>968</v>
      </c>
      <c r="J148" s="2" t="s">
        <v>41</v>
      </c>
      <c r="K148" s="2" t="s">
        <v>662</v>
      </c>
      <c r="L148" s="2" t="s">
        <v>662</v>
      </c>
      <c r="M148" s="2" t="s">
        <v>662</v>
      </c>
    </row>
    <row r="149">
      <c r="C149" s="2" t="s">
        <v>316</v>
      </c>
      <c r="D149" s="1" t="s">
        <v>159</v>
      </c>
      <c r="E149" s="2" t="s">
        <v>969</v>
      </c>
      <c r="F149" s="1" t="s">
        <v>159</v>
      </c>
      <c r="G149" s="1" t="s">
        <v>159</v>
      </c>
      <c r="H149" s="1" t="s">
        <v>159</v>
      </c>
      <c r="I149" s="1" t="s">
        <v>159</v>
      </c>
      <c r="J149" s="2">
        <v>7.0</v>
      </c>
      <c r="K149" s="2" t="s">
        <v>662</v>
      </c>
      <c r="L149" s="2" t="s">
        <v>662</v>
      </c>
      <c r="M149" s="2" t="s">
        <v>662</v>
      </c>
    </row>
    <row r="150">
      <c r="C150" s="2" t="s">
        <v>316</v>
      </c>
      <c r="D150" s="1" t="s">
        <v>159</v>
      </c>
      <c r="E150" s="2" t="s">
        <v>970</v>
      </c>
      <c r="F150" s="2">
        <v>50.0</v>
      </c>
      <c r="G150" s="2">
        <v>75.0</v>
      </c>
      <c r="H150" s="2">
        <v>100.0</v>
      </c>
      <c r="I150" s="2">
        <v>125.0</v>
      </c>
      <c r="J150" s="2" t="s">
        <v>20</v>
      </c>
      <c r="K150" s="2" t="s">
        <v>662</v>
      </c>
      <c r="L150" s="2" t="s">
        <v>662</v>
      </c>
      <c r="M150" s="2" t="s">
        <v>662</v>
      </c>
    </row>
    <row r="151">
      <c r="C151" s="2" t="s">
        <v>316</v>
      </c>
      <c r="D151" s="1" t="s">
        <v>159</v>
      </c>
      <c r="E151" s="6" t="s">
        <v>971</v>
      </c>
      <c r="F151" s="2">
        <v>1.0</v>
      </c>
      <c r="G151" s="2">
        <v>2.0</v>
      </c>
      <c r="H151" s="2">
        <v>3.0</v>
      </c>
      <c r="I151" s="2">
        <v>4.0</v>
      </c>
      <c r="J151" s="2" t="s">
        <v>26</v>
      </c>
      <c r="K151" s="2" t="s">
        <v>662</v>
      </c>
      <c r="L151" s="2" t="s">
        <v>662</v>
      </c>
      <c r="M151" s="2" t="s">
        <v>662</v>
      </c>
    </row>
    <row r="152">
      <c r="C152" s="2" t="s">
        <v>316</v>
      </c>
      <c r="D152" s="1" t="s">
        <v>159</v>
      </c>
      <c r="E152" s="2" t="s">
        <v>972</v>
      </c>
      <c r="F152" s="2">
        <v>4.0</v>
      </c>
      <c r="G152" s="2">
        <v>6.0</v>
      </c>
      <c r="H152" s="2">
        <v>7.0</v>
      </c>
      <c r="I152" s="2">
        <v>8.0</v>
      </c>
      <c r="J152" s="2">
        <v>7.0</v>
      </c>
      <c r="K152" s="2" t="s">
        <v>662</v>
      </c>
      <c r="L152" s="2" t="s">
        <v>662</v>
      </c>
      <c r="M152" s="2" t="s">
        <v>662</v>
      </c>
    </row>
    <row r="153">
      <c r="C153" s="2" t="s">
        <v>316</v>
      </c>
      <c r="D153" s="1" t="s">
        <v>159</v>
      </c>
      <c r="E153" s="6" t="s">
        <v>973</v>
      </c>
      <c r="F153" s="2">
        <v>5.0</v>
      </c>
      <c r="G153" s="2">
        <v>6.0</v>
      </c>
      <c r="H153" s="2">
        <v>8.0</v>
      </c>
      <c r="I153" s="2">
        <v>12.0</v>
      </c>
      <c r="J153" s="2">
        <v>8.0</v>
      </c>
      <c r="K153" s="2" t="s">
        <v>662</v>
      </c>
      <c r="L153" s="2" t="s">
        <v>662</v>
      </c>
      <c r="M153" s="2" t="s">
        <v>662</v>
      </c>
    </row>
    <row r="154">
      <c r="C154" s="2" t="s">
        <v>316</v>
      </c>
      <c r="D154" s="1" t="s">
        <v>159</v>
      </c>
      <c r="E154" s="2" t="s">
        <v>974</v>
      </c>
      <c r="F154" s="2">
        <v>35.0</v>
      </c>
      <c r="G154" s="2">
        <v>45.0</v>
      </c>
      <c r="H154" s="2">
        <v>125.0</v>
      </c>
      <c r="I154" s="2">
        <v>135.0</v>
      </c>
      <c r="J154" s="2" t="s">
        <v>26</v>
      </c>
      <c r="K154" s="2" t="s">
        <v>662</v>
      </c>
      <c r="L154" s="2" t="s">
        <v>662</v>
      </c>
      <c r="M154" s="2" t="s">
        <v>662</v>
      </c>
    </row>
    <row r="155">
      <c r="C155" s="2" t="s">
        <v>316</v>
      </c>
      <c r="D155" s="1" t="s">
        <v>159</v>
      </c>
      <c r="E155" s="2" t="s">
        <v>975</v>
      </c>
      <c r="F155" s="2">
        <v>10.8</v>
      </c>
      <c r="G155" s="2">
        <v>11.0</v>
      </c>
      <c r="H155" s="2">
        <v>12.2</v>
      </c>
      <c r="I155" s="2">
        <v>13.0</v>
      </c>
      <c r="J155" s="2">
        <v>11.0</v>
      </c>
      <c r="K155" s="2" t="s">
        <v>662</v>
      </c>
      <c r="L155" s="2" t="s">
        <v>662</v>
      </c>
      <c r="M155" s="2" t="s">
        <v>662</v>
      </c>
    </row>
    <row r="156">
      <c r="C156" s="2" t="s">
        <v>316</v>
      </c>
      <c r="D156" s="1" t="s">
        <v>159</v>
      </c>
      <c r="E156" s="2" t="s">
        <v>976</v>
      </c>
      <c r="F156" s="2" t="s">
        <v>977</v>
      </c>
      <c r="G156" s="2" t="s">
        <v>978</v>
      </c>
      <c r="H156" s="2" t="s">
        <v>979</v>
      </c>
      <c r="I156" s="2" t="s">
        <v>980</v>
      </c>
      <c r="J156" s="2" t="s">
        <v>37</v>
      </c>
      <c r="K156" s="2" t="s">
        <v>662</v>
      </c>
      <c r="L156" s="2" t="s">
        <v>662</v>
      </c>
      <c r="M156" s="2" t="s">
        <v>662</v>
      </c>
    </row>
    <row r="157">
      <c r="C157" s="2" t="s">
        <v>316</v>
      </c>
      <c r="D157" s="1" t="s">
        <v>159</v>
      </c>
      <c r="E157" s="2" t="s">
        <v>981</v>
      </c>
      <c r="F157" s="2">
        <v>45.0</v>
      </c>
      <c r="G157" s="2">
        <v>60.0</v>
      </c>
      <c r="H157" s="2">
        <v>90.0</v>
      </c>
      <c r="I157" s="2">
        <v>180.0</v>
      </c>
      <c r="J157" s="2">
        <v>90.0</v>
      </c>
      <c r="K157" s="2" t="s">
        <v>662</v>
      </c>
      <c r="L157" s="2" t="s">
        <v>662</v>
      </c>
      <c r="M157" s="2" t="s">
        <v>662</v>
      </c>
    </row>
    <row r="158">
      <c r="C158" s="2" t="s">
        <v>316</v>
      </c>
      <c r="D158" s="1" t="s">
        <v>159</v>
      </c>
      <c r="E158" s="2" t="s">
        <v>982</v>
      </c>
      <c r="F158" s="2">
        <v>6.0</v>
      </c>
      <c r="G158" s="2">
        <v>7.0</v>
      </c>
      <c r="H158" s="2">
        <v>8.0</v>
      </c>
      <c r="I158" s="2">
        <v>9.0</v>
      </c>
      <c r="J158" s="2" t="s">
        <v>26</v>
      </c>
      <c r="K158" s="2" t="s">
        <v>662</v>
      </c>
      <c r="L158" s="2" t="s">
        <v>662</v>
      </c>
      <c r="M158" s="2" t="s">
        <v>662</v>
      </c>
    </row>
    <row r="159">
      <c r="C159" s="2" t="s">
        <v>316</v>
      </c>
      <c r="D159" s="1" t="s">
        <v>159</v>
      </c>
      <c r="E159" s="2" t="s">
        <v>983</v>
      </c>
      <c r="F159" s="2" t="s">
        <v>984</v>
      </c>
      <c r="G159" s="2" t="s">
        <v>985</v>
      </c>
      <c r="H159" s="2" t="s">
        <v>986</v>
      </c>
      <c r="I159" s="2" t="s">
        <v>987</v>
      </c>
      <c r="J159" s="2" t="s">
        <v>20</v>
      </c>
      <c r="K159" s="2" t="s">
        <v>662</v>
      </c>
      <c r="L159" s="2" t="s">
        <v>662</v>
      </c>
      <c r="M159" s="2" t="s">
        <v>662</v>
      </c>
    </row>
    <row r="160">
      <c r="C160" s="2" t="s">
        <v>316</v>
      </c>
      <c r="D160" s="1" t="s">
        <v>159</v>
      </c>
      <c r="E160" s="2" t="s">
        <v>988</v>
      </c>
      <c r="F160" s="2">
        <v>26.0</v>
      </c>
      <c r="G160" s="2">
        <v>28.0</v>
      </c>
      <c r="H160" s="2">
        <v>30.0</v>
      </c>
      <c r="I160" s="2">
        <v>32.0</v>
      </c>
      <c r="J160" s="2" t="s">
        <v>37</v>
      </c>
      <c r="K160" s="2" t="s">
        <v>662</v>
      </c>
      <c r="L160" s="2" t="s">
        <v>662</v>
      </c>
      <c r="M160" s="2" t="s">
        <v>662</v>
      </c>
    </row>
    <row r="161">
      <c r="C161" s="2" t="s">
        <v>316</v>
      </c>
      <c r="D161" s="1" t="s">
        <v>159</v>
      </c>
      <c r="E161" s="2" t="s">
        <v>989</v>
      </c>
      <c r="F161" s="2">
        <v>25.0</v>
      </c>
      <c r="G161" s="2">
        <v>35.0</v>
      </c>
      <c r="H161" s="2">
        <v>45.0</v>
      </c>
      <c r="I161" s="2">
        <v>55.0</v>
      </c>
      <c r="J161" s="2">
        <v>45.0</v>
      </c>
      <c r="K161" s="2" t="s">
        <v>662</v>
      </c>
      <c r="L161" s="2" t="s">
        <v>662</v>
      </c>
      <c r="M161" s="2" t="s">
        <v>662</v>
      </c>
    </row>
    <row r="162">
      <c r="C162" s="2" t="s">
        <v>316</v>
      </c>
      <c r="D162" s="1" t="s">
        <v>159</v>
      </c>
      <c r="E162" s="2" t="s">
        <v>990</v>
      </c>
      <c r="F162" s="2" t="s">
        <v>991</v>
      </c>
      <c r="G162" s="2" t="s">
        <v>992</v>
      </c>
      <c r="H162" s="2" t="s">
        <v>993</v>
      </c>
      <c r="I162" s="2" t="s">
        <v>994</v>
      </c>
      <c r="J162" s="2">
        <v>5.0</v>
      </c>
      <c r="K162" s="2" t="s">
        <v>662</v>
      </c>
      <c r="L162" s="2" t="s">
        <v>662</v>
      </c>
      <c r="M162" s="2" t="s">
        <v>662</v>
      </c>
    </row>
    <row r="163">
      <c r="C163" s="2" t="s">
        <v>316</v>
      </c>
      <c r="D163" s="1" t="s">
        <v>159</v>
      </c>
      <c r="E163" s="2" t="s">
        <v>995</v>
      </c>
      <c r="F163" s="2">
        <v>4.5</v>
      </c>
      <c r="G163" s="2">
        <v>5.0</v>
      </c>
      <c r="H163" s="2">
        <v>5.5</v>
      </c>
      <c r="I163" s="2">
        <v>6.0</v>
      </c>
      <c r="J163" s="2">
        <v>5.5</v>
      </c>
      <c r="K163" s="2" t="s">
        <v>662</v>
      </c>
      <c r="L163" s="2" t="s">
        <v>662</v>
      </c>
      <c r="M163" s="2" t="s">
        <v>662</v>
      </c>
    </row>
    <row r="164">
      <c r="C164" s="2" t="s">
        <v>316</v>
      </c>
      <c r="D164" s="1" t="s">
        <v>159</v>
      </c>
      <c r="E164" s="2" t="s">
        <v>996</v>
      </c>
      <c r="F164" s="2">
        <v>105.0</v>
      </c>
      <c r="G164" s="2">
        <v>110.0</v>
      </c>
      <c r="H164" s="2">
        <v>115.0</v>
      </c>
      <c r="I164" s="2">
        <v>120.0</v>
      </c>
      <c r="J164" s="2" t="s">
        <v>41</v>
      </c>
    </row>
    <row r="165">
      <c r="C165" s="2" t="s">
        <v>316</v>
      </c>
      <c r="D165" s="1" t="s">
        <v>159</v>
      </c>
      <c r="E165" s="2" t="s">
        <v>998</v>
      </c>
      <c r="F165" s="2">
        <v>27.5</v>
      </c>
      <c r="G165" s="2">
        <v>275.0</v>
      </c>
      <c r="H165" s="2">
        <v>2750.0</v>
      </c>
      <c r="I165" s="2">
        <v>27500.0</v>
      </c>
      <c r="J165" s="2">
        <v>275.0</v>
      </c>
    </row>
    <row r="166">
      <c r="C166" s="2" t="s">
        <v>316</v>
      </c>
      <c r="D166" s="1" t="s">
        <v>159</v>
      </c>
      <c r="E166" s="2" t="s">
        <v>999</v>
      </c>
      <c r="F166" s="2">
        <v>2.0</v>
      </c>
      <c r="G166" s="2">
        <v>3.0</v>
      </c>
      <c r="H166" s="2">
        <v>4.0</v>
      </c>
      <c r="I166" s="2">
        <v>5.0</v>
      </c>
      <c r="J166" s="2" t="s">
        <v>37</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c r="C1" s="2" t="s">
        <v>2</v>
      </c>
      <c r="D1" s="2" t="s">
        <v>3</v>
      </c>
      <c r="E1" s="2" t="s">
        <v>4</v>
      </c>
      <c r="F1" s="2" t="s">
        <v>5</v>
      </c>
      <c r="G1" s="2" t="s">
        <v>6</v>
      </c>
      <c r="H1" s="2" t="s">
        <v>7</v>
      </c>
      <c r="I1" s="2" t="s">
        <v>8</v>
      </c>
      <c r="J1" s="2" t="s">
        <v>9</v>
      </c>
      <c r="K1" s="2" t="s">
        <v>10</v>
      </c>
      <c r="L1" s="2" t="s">
        <v>11</v>
      </c>
      <c r="M1" s="2" t="s">
        <v>12</v>
      </c>
    </row>
    <row r="2">
      <c r="A2" s="3">
        <v>1.0</v>
      </c>
      <c r="B2" s="3">
        <v>1.0</v>
      </c>
      <c r="C2" s="2" t="s">
        <v>13</v>
      </c>
      <c r="D2" s="2" t="s">
        <v>388</v>
      </c>
      <c r="E2" s="2" t="s">
        <v>15</v>
      </c>
      <c r="F2" s="2" t="s">
        <v>220</v>
      </c>
      <c r="G2" s="2" t="s">
        <v>221</v>
      </c>
      <c r="H2" s="2" t="s">
        <v>222</v>
      </c>
      <c r="I2" s="2" t="s">
        <v>223</v>
      </c>
      <c r="J2" s="2" t="s">
        <v>20</v>
      </c>
      <c r="K2" s="2" t="s">
        <v>33</v>
      </c>
      <c r="L2" s="2" t="s">
        <v>22</v>
      </c>
      <c r="M2" s="2" t="s">
        <v>23</v>
      </c>
    </row>
    <row r="3">
      <c r="A3" s="3">
        <v>1.0</v>
      </c>
      <c r="B3" s="3">
        <v>2.0</v>
      </c>
      <c r="C3" s="2" t="s">
        <v>13</v>
      </c>
      <c r="D3" s="2" t="s">
        <v>400</v>
      </c>
      <c r="E3" s="2" t="s">
        <v>228</v>
      </c>
      <c r="F3" s="2" t="s">
        <v>230</v>
      </c>
      <c r="G3" s="2" t="s">
        <v>231</v>
      </c>
      <c r="H3" s="2" t="s">
        <v>233</v>
      </c>
      <c r="I3" s="2" t="s">
        <v>234</v>
      </c>
      <c r="J3" s="2" t="s">
        <v>41</v>
      </c>
      <c r="K3" s="2" t="s">
        <v>81</v>
      </c>
      <c r="L3" s="2" t="s">
        <v>22</v>
      </c>
      <c r="M3" s="2" t="s">
        <v>23</v>
      </c>
    </row>
    <row r="4">
      <c r="A4" s="3">
        <v>1.0</v>
      </c>
      <c r="B4" s="3">
        <v>3.0</v>
      </c>
      <c r="C4" s="2" t="s">
        <v>13</v>
      </c>
      <c r="D4" s="2" t="s">
        <v>236</v>
      </c>
      <c r="E4" s="2" t="s">
        <v>15</v>
      </c>
      <c r="F4" s="2" t="s">
        <v>237</v>
      </c>
      <c r="G4" s="2" t="s">
        <v>239</v>
      </c>
      <c r="H4" s="2" t="s">
        <v>240</v>
      </c>
      <c r="I4" s="2" t="s">
        <v>242</v>
      </c>
      <c r="J4" s="2" t="s">
        <v>20</v>
      </c>
      <c r="K4" s="2" t="s">
        <v>33</v>
      </c>
      <c r="L4" s="2" t="s">
        <v>22</v>
      </c>
      <c r="M4" s="2" t="s">
        <v>23</v>
      </c>
    </row>
    <row r="5">
      <c r="A5" s="3">
        <v>1.0</v>
      </c>
      <c r="B5" s="3">
        <v>4.0</v>
      </c>
      <c r="C5" s="2" t="s">
        <v>13</v>
      </c>
      <c r="D5" s="2" t="s">
        <v>421</v>
      </c>
      <c r="E5" s="2" t="s">
        <v>15</v>
      </c>
      <c r="F5" s="2" t="s">
        <v>248</v>
      </c>
      <c r="G5" s="2" t="s">
        <v>249</v>
      </c>
      <c r="H5" s="2" t="s">
        <v>250</v>
      </c>
      <c r="I5" s="2" t="s">
        <v>251</v>
      </c>
      <c r="J5" s="2" t="s">
        <v>251</v>
      </c>
      <c r="K5" s="2" t="s">
        <v>21</v>
      </c>
      <c r="L5" s="2" t="s">
        <v>22</v>
      </c>
      <c r="M5" s="2" t="s">
        <v>43</v>
      </c>
    </row>
    <row r="6">
      <c r="A6" s="3">
        <v>1.0</v>
      </c>
      <c r="B6" s="3">
        <v>5.0</v>
      </c>
      <c r="C6" s="2" t="s">
        <v>13</v>
      </c>
      <c r="D6" s="4" t="s">
        <v>532</v>
      </c>
      <c r="E6" s="2" t="s">
        <v>259</v>
      </c>
      <c r="F6" s="2" t="s">
        <v>260</v>
      </c>
      <c r="G6" s="2" t="s">
        <v>261</v>
      </c>
      <c r="H6" s="2" t="s">
        <v>262</v>
      </c>
      <c r="I6" s="2" t="s">
        <v>263</v>
      </c>
      <c r="J6" s="2" t="s">
        <v>262</v>
      </c>
      <c r="K6" s="2" t="s">
        <v>81</v>
      </c>
      <c r="L6" s="2" t="s">
        <v>22</v>
      </c>
      <c r="M6" s="2" t="s">
        <v>23</v>
      </c>
    </row>
    <row r="7">
      <c r="A7" s="3">
        <v>1.0</v>
      </c>
      <c r="B7" s="3">
        <v>6.0</v>
      </c>
      <c r="C7" s="2" t="s">
        <v>13</v>
      </c>
      <c r="D7" s="2" t="s">
        <v>264</v>
      </c>
      <c r="E7" s="2" t="s">
        <v>75</v>
      </c>
      <c r="F7" s="2" t="s">
        <v>267</v>
      </c>
      <c r="G7" s="2" t="s">
        <v>269</v>
      </c>
      <c r="H7" s="2" t="s">
        <v>270</v>
      </c>
      <c r="I7" s="2" t="s">
        <v>272</v>
      </c>
      <c r="J7" s="2" t="s">
        <v>269</v>
      </c>
      <c r="K7" s="2" t="s">
        <v>42</v>
      </c>
      <c r="L7" s="2" t="s">
        <v>82</v>
      </c>
      <c r="M7" s="2" t="s">
        <v>23</v>
      </c>
    </row>
    <row r="8">
      <c r="A8" s="3">
        <v>1.0</v>
      </c>
      <c r="B8" s="3">
        <v>7.0</v>
      </c>
      <c r="C8" s="2" t="s">
        <v>13</v>
      </c>
      <c r="D8" s="2" t="s">
        <v>275</v>
      </c>
      <c r="E8" s="2" t="s">
        <v>75</v>
      </c>
      <c r="F8" s="2" t="s">
        <v>462</v>
      </c>
      <c r="G8" s="2" t="s">
        <v>464</v>
      </c>
      <c r="H8" s="2" t="s">
        <v>467</v>
      </c>
      <c r="I8" s="2" t="s">
        <v>470</v>
      </c>
      <c r="J8" s="2" t="s">
        <v>464</v>
      </c>
      <c r="K8" s="2" t="s">
        <v>42</v>
      </c>
      <c r="L8" s="2" t="s">
        <v>82</v>
      </c>
      <c r="M8" s="2" t="s">
        <v>23</v>
      </c>
    </row>
    <row r="9">
      <c r="A9" s="3">
        <v>1.0</v>
      </c>
      <c r="B9" s="3">
        <v>8.0</v>
      </c>
      <c r="C9" s="2" t="s">
        <v>13</v>
      </c>
      <c r="D9" s="2" t="s">
        <v>281</v>
      </c>
      <c r="E9" s="2" t="s">
        <v>86</v>
      </c>
      <c r="F9" s="2" t="s">
        <v>284</v>
      </c>
      <c r="G9" s="2" t="s">
        <v>286</v>
      </c>
      <c r="H9" s="2" t="s">
        <v>287</v>
      </c>
      <c r="I9" s="2" t="s">
        <v>288</v>
      </c>
      <c r="J9" s="2" t="s">
        <v>26</v>
      </c>
      <c r="K9" s="2" t="s">
        <v>33</v>
      </c>
      <c r="L9" s="2" t="s">
        <v>82</v>
      </c>
      <c r="M9" s="2" t="s">
        <v>92</v>
      </c>
    </row>
    <row r="10">
      <c r="A10" s="3">
        <v>1.0</v>
      </c>
      <c r="B10" s="3">
        <v>9.0</v>
      </c>
      <c r="C10" s="2" t="s">
        <v>13</v>
      </c>
      <c r="D10" s="2" t="s">
        <v>289</v>
      </c>
      <c r="E10" s="2" t="s">
        <v>290</v>
      </c>
      <c r="F10" s="2" t="s">
        <v>292</v>
      </c>
      <c r="G10" s="2" t="s">
        <v>293</v>
      </c>
      <c r="H10" s="2" t="s">
        <v>294</v>
      </c>
      <c r="I10" s="2" t="s">
        <v>296</v>
      </c>
      <c r="J10" s="2" t="s">
        <v>41</v>
      </c>
      <c r="K10" s="2" t="s">
        <v>81</v>
      </c>
      <c r="L10" s="2" t="s">
        <v>112</v>
      </c>
      <c r="M10" s="2" t="s">
        <v>23</v>
      </c>
    </row>
    <row r="11">
      <c r="A11" s="3">
        <v>1.0</v>
      </c>
      <c r="B11" s="3">
        <v>10.0</v>
      </c>
      <c r="C11" s="2" t="s">
        <v>13</v>
      </c>
      <c r="D11" s="2" t="s">
        <v>493</v>
      </c>
      <c r="E11" s="2" t="s">
        <v>301</v>
      </c>
      <c r="F11" s="2" t="s">
        <v>302</v>
      </c>
      <c r="G11" s="2" t="s">
        <v>303</v>
      </c>
      <c r="H11" s="2" t="s">
        <v>304</v>
      </c>
      <c r="I11" s="2" t="s">
        <v>305</v>
      </c>
      <c r="J11" s="2" t="s">
        <v>41</v>
      </c>
      <c r="K11" s="2" t="s">
        <v>33</v>
      </c>
      <c r="L11" s="2" t="s">
        <v>136</v>
      </c>
      <c r="M11" s="2" t="s">
        <v>23</v>
      </c>
    </row>
    <row r="12">
      <c r="A12" s="3">
        <v>1.0</v>
      </c>
      <c r="B12" s="3">
        <v>11.0</v>
      </c>
      <c r="C12" s="2" t="s">
        <v>13</v>
      </c>
      <c r="D12" s="2" t="s">
        <v>503</v>
      </c>
      <c r="E12" s="2" t="s">
        <v>308</v>
      </c>
      <c r="F12" s="2" t="s">
        <v>309</v>
      </c>
      <c r="G12" s="2" t="s">
        <v>310</v>
      </c>
      <c r="H12" s="2" t="s">
        <v>311</v>
      </c>
      <c r="I12" s="2" t="s">
        <v>313</v>
      </c>
      <c r="J12" s="2" t="s">
        <v>41</v>
      </c>
      <c r="K12" s="2" t="s">
        <v>81</v>
      </c>
      <c r="L12" s="2" t="s">
        <v>136</v>
      </c>
      <c r="M12" s="2" t="s">
        <v>23</v>
      </c>
    </row>
    <row r="13">
      <c r="A13" s="3">
        <v>1.0</v>
      </c>
      <c r="B13" s="3">
        <v>12.0</v>
      </c>
      <c r="C13" s="2" t="s">
        <v>13</v>
      </c>
      <c r="D13" s="2" t="s">
        <v>524</v>
      </c>
      <c r="E13" s="2" t="s">
        <v>318</v>
      </c>
      <c r="F13" s="2" t="s">
        <v>319</v>
      </c>
      <c r="G13" s="2" t="s">
        <v>320</v>
      </c>
      <c r="H13" s="2" t="s">
        <v>321</v>
      </c>
      <c r="I13" s="2" t="s">
        <v>322</v>
      </c>
      <c r="J13" s="2" t="s">
        <v>37</v>
      </c>
      <c r="K13" s="2" t="s">
        <v>33</v>
      </c>
      <c r="L13" s="2" t="s">
        <v>136</v>
      </c>
      <c r="M13" s="2" t="s">
        <v>23</v>
      </c>
      <c r="N13" s="7" t="str">
        <f>IMAGE("https://lh3.googleusercontent.com/d/1_o2Y8fCpfb7JP3ZegsWnajl4GNaBufn5")</f>
        <v/>
      </c>
    </row>
    <row r="14">
      <c r="A14" s="3">
        <v>1.0</v>
      </c>
      <c r="B14" s="3">
        <v>13.0</v>
      </c>
      <c r="C14" s="2" t="s">
        <v>13</v>
      </c>
      <c r="D14" s="2" t="s">
        <v>554</v>
      </c>
      <c r="E14" s="2" t="s">
        <v>558</v>
      </c>
      <c r="F14" s="1" t="s">
        <v>159</v>
      </c>
      <c r="G14" s="1" t="s">
        <v>159</v>
      </c>
      <c r="H14" s="1" t="s">
        <v>159</v>
      </c>
      <c r="I14" s="1" t="s">
        <v>159</v>
      </c>
      <c r="J14" s="2" t="s">
        <v>558</v>
      </c>
      <c r="K14" s="2" t="s">
        <v>329</v>
      </c>
      <c r="L14" s="2" t="s">
        <v>329</v>
      </c>
      <c r="M14" s="2" t="s">
        <v>329</v>
      </c>
    </row>
    <row r="15">
      <c r="A15" s="3">
        <v>1.0</v>
      </c>
      <c r="B15" s="3">
        <v>14.0</v>
      </c>
      <c r="C15" s="2" t="s">
        <v>13</v>
      </c>
      <c r="D15" s="2" t="s">
        <v>331</v>
      </c>
      <c r="E15" s="2" t="s">
        <v>333</v>
      </c>
      <c r="F15" s="1" t="s">
        <v>159</v>
      </c>
      <c r="G15" s="1" t="s">
        <v>159</v>
      </c>
      <c r="H15" s="1" t="s">
        <v>159</v>
      </c>
      <c r="I15" s="1" t="s">
        <v>159</v>
      </c>
      <c r="J15" s="2" t="s">
        <v>26</v>
      </c>
      <c r="K15" s="2" t="s">
        <v>42</v>
      </c>
      <c r="L15" s="2" t="s">
        <v>136</v>
      </c>
      <c r="M15" s="2" t="s">
        <v>92</v>
      </c>
    </row>
    <row r="16">
      <c r="A16" s="3">
        <v>1.0</v>
      </c>
      <c r="B16" s="3">
        <v>15.0</v>
      </c>
      <c r="C16" s="2" t="s">
        <v>13</v>
      </c>
      <c r="D16" s="2" t="s">
        <v>574</v>
      </c>
      <c r="E16" s="2" t="s">
        <v>161</v>
      </c>
      <c r="F16" s="2" t="s">
        <v>338</v>
      </c>
      <c r="G16" s="2" t="s">
        <v>339</v>
      </c>
      <c r="H16" s="2" t="s">
        <v>340</v>
      </c>
      <c r="I16" s="2" t="s">
        <v>342</v>
      </c>
      <c r="J16" s="2" t="s">
        <v>37</v>
      </c>
      <c r="K16" s="2" t="s">
        <v>21</v>
      </c>
      <c r="L16" s="2" t="s">
        <v>166</v>
      </c>
      <c r="M16" s="2" t="s">
        <v>23</v>
      </c>
    </row>
    <row r="17">
      <c r="A17" s="3">
        <v>1.0</v>
      </c>
      <c r="B17" s="3">
        <v>16.0</v>
      </c>
      <c r="C17" s="2" t="s">
        <v>13</v>
      </c>
      <c r="D17" s="2" t="s">
        <v>585</v>
      </c>
      <c r="E17" s="2" t="s">
        <v>161</v>
      </c>
      <c r="F17" s="2" t="s">
        <v>348</v>
      </c>
      <c r="G17" s="2" t="s">
        <v>349</v>
      </c>
      <c r="H17" s="2" t="s">
        <v>350</v>
      </c>
      <c r="I17" s="2" t="s">
        <v>351</v>
      </c>
      <c r="J17" s="2" t="s">
        <v>26</v>
      </c>
      <c r="K17" s="2" t="s">
        <v>33</v>
      </c>
      <c r="L17" s="2" t="s">
        <v>166</v>
      </c>
      <c r="M17" s="2" t="s">
        <v>92</v>
      </c>
    </row>
    <row r="18">
      <c r="A18" s="3">
        <v>1.0</v>
      </c>
      <c r="B18" s="3">
        <v>17.0</v>
      </c>
      <c r="C18" s="2" t="s">
        <v>13</v>
      </c>
      <c r="D18" s="2" t="s">
        <v>354</v>
      </c>
      <c r="E18" s="2" t="s">
        <v>168</v>
      </c>
      <c r="F18" s="2" t="s">
        <v>356</v>
      </c>
      <c r="G18" s="2" t="s">
        <v>358</v>
      </c>
      <c r="H18" s="2" t="s">
        <v>359</v>
      </c>
      <c r="I18" s="2" t="s">
        <v>361</v>
      </c>
      <c r="J18" s="2" t="s">
        <v>26</v>
      </c>
      <c r="K18" s="2" t="s">
        <v>21</v>
      </c>
      <c r="L18" s="2" t="s">
        <v>173</v>
      </c>
      <c r="M18" s="2" t="s">
        <v>92</v>
      </c>
    </row>
    <row r="19">
      <c r="A19" s="3">
        <v>1.0</v>
      </c>
      <c r="B19" s="3">
        <v>18.0</v>
      </c>
      <c r="C19" s="2" t="s">
        <v>13</v>
      </c>
      <c r="D19" s="2" t="s">
        <v>364</v>
      </c>
      <c r="E19" s="2" t="s">
        <v>168</v>
      </c>
      <c r="F19" s="2" t="s">
        <v>365</v>
      </c>
      <c r="G19" s="2" t="s">
        <v>366</v>
      </c>
      <c r="H19" s="2" t="s">
        <v>367</v>
      </c>
      <c r="I19" s="2" t="s">
        <v>369</v>
      </c>
      <c r="J19" s="2" t="s">
        <v>20</v>
      </c>
      <c r="K19" s="2" t="s">
        <v>33</v>
      </c>
      <c r="L19" s="2" t="s">
        <v>184</v>
      </c>
      <c r="M19" s="2" t="s">
        <v>23</v>
      </c>
    </row>
    <row r="20">
      <c r="A20" s="3">
        <v>1.0</v>
      </c>
      <c r="B20" s="3">
        <v>19.0</v>
      </c>
      <c r="C20" s="2" t="s">
        <v>13</v>
      </c>
      <c r="D20" s="2" t="s">
        <v>375</v>
      </c>
      <c r="E20" s="2" t="s">
        <v>168</v>
      </c>
      <c r="F20" s="2" t="s">
        <v>376</v>
      </c>
      <c r="G20" s="2" t="s">
        <v>377</v>
      </c>
      <c r="H20" s="2" t="s">
        <v>616</v>
      </c>
      <c r="I20" s="2" t="s">
        <v>379</v>
      </c>
      <c r="J20" s="2" t="s">
        <v>26</v>
      </c>
      <c r="K20" s="2" t="s">
        <v>21</v>
      </c>
      <c r="L20" s="2" t="s">
        <v>184</v>
      </c>
      <c r="M20" s="2" t="s">
        <v>23</v>
      </c>
    </row>
    <row r="21">
      <c r="A21" s="3">
        <v>1.0</v>
      </c>
      <c r="B21" s="3">
        <v>20.0</v>
      </c>
      <c r="C21" s="2" t="s">
        <v>13</v>
      </c>
      <c r="D21" s="2" t="s">
        <v>382</v>
      </c>
      <c r="E21" s="2" t="s">
        <v>168</v>
      </c>
      <c r="F21" s="2" t="s">
        <v>384</v>
      </c>
      <c r="G21" s="2" t="s">
        <v>386</v>
      </c>
      <c r="H21" s="2" t="s">
        <v>387</v>
      </c>
      <c r="I21" s="2" t="s">
        <v>390</v>
      </c>
      <c r="J21" s="2" t="s">
        <v>41</v>
      </c>
      <c r="K21" s="2" t="s">
        <v>33</v>
      </c>
      <c r="L21" s="2" t="s">
        <v>173</v>
      </c>
      <c r="M21" s="2" t="s">
        <v>23</v>
      </c>
    </row>
    <row r="22">
      <c r="A22" s="3">
        <v>1.0</v>
      </c>
      <c r="B22" s="3">
        <v>21.0</v>
      </c>
      <c r="C22" s="2" t="s">
        <v>13</v>
      </c>
      <c r="D22" s="2" t="s">
        <v>392</v>
      </c>
      <c r="E22" s="2" t="s">
        <v>168</v>
      </c>
      <c r="F22" s="2" t="s">
        <v>393</v>
      </c>
      <c r="G22" s="2" t="s">
        <v>395</v>
      </c>
      <c r="H22" s="2" t="s">
        <v>396</v>
      </c>
      <c r="I22" s="2" t="s">
        <v>398</v>
      </c>
      <c r="J22" s="2" t="s">
        <v>41</v>
      </c>
      <c r="K22" s="2" t="s">
        <v>21</v>
      </c>
      <c r="L22" s="2" t="s">
        <v>173</v>
      </c>
      <c r="M22" s="2" t="s">
        <v>43</v>
      </c>
    </row>
    <row r="23">
      <c r="A23" s="3">
        <v>1.0</v>
      </c>
      <c r="B23" s="3">
        <v>22.0</v>
      </c>
      <c r="C23" s="2" t="s">
        <v>13</v>
      </c>
      <c r="D23" s="2" t="s">
        <v>404</v>
      </c>
      <c r="E23" s="2" t="s">
        <v>168</v>
      </c>
      <c r="F23" s="2" t="s">
        <v>405</v>
      </c>
      <c r="G23" s="2" t="s">
        <v>406</v>
      </c>
      <c r="H23" s="2" t="s">
        <v>407</v>
      </c>
      <c r="I23" s="2" t="s">
        <v>408</v>
      </c>
      <c r="J23" s="2" t="s">
        <v>41</v>
      </c>
      <c r="K23" s="2" t="s">
        <v>21</v>
      </c>
      <c r="L23" s="2" t="s">
        <v>184</v>
      </c>
      <c r="M23" s="2" t="s">
        <v>23</v>
      </c>
    </row>
    <row r="24">
      <c r="A24" s="3">
        <v>1.0</v>
      </c>
      <c r="B24" s="3">
        <v>23.0</v>
      </c>
      <c r="C24" s="2" t="s">
        <v>13</v>
      </c>
      <c r="D24" s="2" t="s">
        <v>414</v>
      </c>
      <c r="E24" s="2" t="s">
        <v>196</v>
      </c>
      <c r="F24" s="2" t="s">
        <v>416</v>
      </c>
      <c r="G24" s="2" t="s">
        <v>417</v>
      </c>
      <c r="H24" s="2" t="s">
        <v>418</v>
      </c>
      <c r="I24" s="2" t="s">
        <v>419</v>
      </c>
      <c r="J24" s="2" t="s">
        <v>41</v>
      </c>
      <c r="K24" s="2" t="s">
        <v>420</v>
      </c>
      <c r="L24" s="2" t="s">
        <v>201</v>
      </c>
      <c r="M24" s="2" t="s">
        <v>43</v>
      </c>
    </row>
    <row r="25">
      <c r="A25" s="3">
        <v>1.0</v>
      </c>
      <c r="B25" s="3">
        <v>24.0</v>
      </c>
      <c r="C25" s="2" t="s">
        <v>13</v>
      </c>
      <c r="D25" s="2" t="s">
        <v>422</v>
      </c>
      <c r="E25" s="2" t="s">
        <v>196</v>
      </c>
      <c r="F25" s="2" t="s">
        <v>423</v>
      </c>
      <c r="G25" s="2" t="s">
        <v>424</v>
      </c>
      <c r="H25" s="2" t="s">
        <v>642</v>
      </c>
      <c r="I25" s="2" t="s">
        <v>643</v>
      </c>
      <c r="J25" s="2" t="s">
        <v>20</v>
      </c>
      <c r="K25" s="2" t="s">
        <v>81</v>
      </c>
      <c r="L25" s="2" t="s">
        <v>201</v>
      </c>
      <c r="M25" s="2" t="s">
        <v>92</v>
      </c>
    </row>
    <row r="26">
      <c r="A26" s="3">
        <v>1.0</v>
      </c>
      <c r="B26" s="3">
        <v>25.0</v>
      </c>
      <c r="C26" s="2" t="s">
        <v>13</v>
      </c>
      <c r="D26" s="2" t="s">
        <v>645</v>
      </c>
      <c r="E26" s="2" t="s">
        <v>432</v>
      </c>
      <c r="F26" s="2" t="s">
        <v>433</v>
      </c>
      <c r="G26" s="2" t="s">
        <v>434</v>
      </c>
      <c r="H26" s="2" t="s">
        <v>436</v>
      </c>
      <c r="I26" s="2" t="s">
        <v>439</v>
      </c>
      <c r="J26" s="2" t="s">
        <v>37</v>
      </c>
      <c r="K26" s="2" t="s">
        <v>81</v>
      </c>
      <c r="L26" s="2" t="s">
        <v>219</v>
      </c>
      <c r="M26" s="2" t="s">
        <v>92</v>
      </c>
    </row>
    <row r="27">
      <c r="A27" s="3">
        <v>1.0</v>
      </c>
      <c r="B27" s="3">
        <v>26.0</v>
      </c>
      <c r="C27" s="2" t="s">
        <v>13</v>
      </c>
      <c r="D27" s="2" t="s">
        <v>648</v>
      </c>
      <c r="E27" s="2" t="s">
        <v>445</v>
      </c>
      <c r="F27" s="2" t="s">
        <v>446</v>
      </c>
      <c r="G27" s="2" t="s">
        <v>650</v>
      </c>
      <c r="H27" s="2" t="s">
        <v>448</v>
      </c>
      <c r="I27" s="2" t="s">
        <v>449</v>
      </c>
      <c r="J27" s="2" t="s">
        <v>26</v>
      </c>
      <c r="K27" s="2" t="s">
        <v>21</v>
      </c>
      <c r="L27" s="2" t="s">
        <v>219</v>
      </c>
      <c r="M27" s="2" t="s">
        <v>92</v>
      </c>
    </row>
    <row r="28">
      <c r="A28" s="3">
        <v>1.0</v>
      </c>
      <c r="B28" s="3">
        <v>27.0</v>
      </c>
      <c r="C28" s="2" t="s">
        <v>13</v>
      </c>
      <c r="D28" s="2" t="s">
        <v>654</v>
      </c>
      <c r="E28" s="2" t="s">
        <v>655</v>
      </c>
      <c r="F28" s="2" t="s">
        <v>656</v>
      </c>
      <c r="G28" s="2" t="s">
        <v>657</v>
      </c>
      <c r="H28" s="2" t="s">
        <v>244</v>
      </c>
      <c r="I28" s="2" t="s">
        <v>658</v>
      </c>
      <c r="J28" s="2" t="s">
        <v>41</v>
      </c>
      <c r="K28" s="2" t="s">
        <v>21</v>
      </c>
      <c r="L28" s="2" t="s">
        <v>219</v>
      </c>
      <c r="M28" s="2" t="s">
        <v>92</v>
      </c>
    </row>
    <row r="29">
      <c r="A29" s="3">
        <v>2.0</v>
      </c>
      <c r="B29" s="3">
        <v>1.0</v>
      </c>
      <c r="C29" s="2" t="s">
        <v>13</v>
      </c>
      <c r="D29" s="2" t="s">
        <v>468</v>
      </c>
      <c r="E29" s="2" t="s">
        <v>471</v>
      </c>
      <c r="F29" s="2" t="s">
        <v>472</v>
      </c>
      <c r="G29" s="2" t="s">
        <v>663</v>
      </c>
      <c r="H29" s="2" t="s">
        <v>244</v>
      </c>
      <c r="I29" s="2" t="s">
        <v>474</v>
      </c>
      <c r="J29" s="2" t="s">
        <v>20</v>
      </c>
      <c r="K29" s="2" t="s">
        <v>42</v>
      </c>
      <c r="L29" s="2" t="s">
        <v>219</v>
      </c>
      <c r="M29" s="2" t="s">
        <v>43</v>
      </c>
    </row>
    <row r="30">
      <c r="A30" s="3">
        <v>2.0</v>
      </c>
      <c r="B30" s="3">
        <v>2.0</v>
      </c>
      <c r="C30" s="2" t="s">
        <v>13</v>
      </c>
      <c r="D30" s="2" t="s">
        <v>667</v>
      </c>
      <c r="E30" s="2" t="s">
        <v>476</v>
      </c>
      <c r="F30" s="2" t="s">
        <v>478</v>
      </c>
      <c r="G30" s="2" t="s">
        <v>479</v>
      </c>
      <c r="H30" s="2" t="s">
        <v>480</v>
      </c>
      <c r="I30" s="2" t="s">
        <v>481</v>
      </c>
      <c r="J30" s="2" t="s">
        <v>41</v>
      </c>
      <c r="K30" s="2" t="s">
        <v>33</v>
      </c>
      <c r="L30" s="2" t="s">
        <v>219</v>
      </c>
      <c r="M30" s="2" t="s">
        <v>92</v>
      </c>
    </row>
    <row r="31">
      <c r="A31" s="3">
        <v>2.0</v>
      </c>
      <c r="B31" s="3">
        <v>3.0</v>
      </c>
      <c r="C31" s="2" t="s">
        <v>13</v>
      </c>
      <c r="D31" s="1" t="s">
        <v>159</v>
      </c>
      <c r="E31" s="2" t="s">
        <v>482</v>
      </c>
      <c r="F31" s="2" t="s">
        <v>483</v>
      </c>
      <c r="G31" s="2" t="s">
        <v>678</v>
      </c>
      <c r="H31" s="2" t="s">
        <v>679</v>
      </c>
      <c r="I31" s="2" t="s">
        <v>680</v>
      </c>
      <c r="J31" s="2" t="s">
        <v>26</v>
      </c>
      <c r="K31" s="2" t="s">
        <v>42</v>
      </c>
      <c r="L31" s="2" t="s">
        <v>22</v>
      </c>
      <c r="M31" s="2" t="s">
        <v>23</v>
      </c>
    </row>
    <row r="32">
      <c r="A32" s="3">
        <v>2.0</v>
      </c>
      <c r="B32" s="3">
        <v>4.0</v>
      </c>
      <c r="C32" s="2" t="s">
        <v>13</v>
      </c>
      <c r="D32" s="2" t="s">
        <v>491</v>
      </c>
      <c r="E32" s="2" t="s">
        <v>15</v>
      </c>
      <c r="F32" s="2" t="s">
        <v>492</v>
      </c>
      <c r="G32" s="2" t="s">
        <v>494</v>
      </c>
      <c r="H32" s="2" t="s">
        <v>495</v>
      </c>
      <c r="I32" s="2" t="s">
        <v>496</v>
      </c>
      <c r="J32" s="2" t="s">
        <v>41</v>
      </c>
      <c r="K32" s="2" t="s">
        <v>33</v>
      </c>
      <c r="L32" s="2" t="s">
        <v>22</v>
      </c>
      <c r="M32" s="2" t="s">
        <v>92</v>
      </c>
    </row>
    <row r="33">
      <c r="A33" s="3">
        <v>2.0</v>
      </c>
      <c r="B33" s="3">
        <v>5.0</v>
      </c>
      <c r="C33" s="2" t="s">
        <v>13</v>
      </c>
      <c r="D33" s="4" t="s">
        <v>746</v>
      </c>
      <c r="E33" s="2" t="s">
        <v>504</v>
      </c>
      <c r="F33" s="2" t="s">
        <v>505</v>
      </c>
      <c r="G33" s="2" t="s">
        <v>506</v>
      </c>
      <c r="H33" s="2" t="s">
        <v>507</v>
      </c>
      <c r="I33" s="2" t="s">
        <v>509</v>
      </c>
      <c r="J33" s="2" t="s">
        <v>20</v>
      </c>
      <c r="K33" s="2" t="s">
        <v>81</v>
      </c>
      <c r="L33" s="2" t="s">
        <v>22</v>
      </c>
      <c r="M33" s="2" t="s">
        <v>43</v>
      </c>
    </row>
    <row r="34">
      <c r="A34" s="3">
        <v>2.0</v>
      </c>
      <c r="B34" s="3">
        <v>6.0</v>
      </c>
      <c r="C34" s="2" t="s">
        <v>13</v>
      </c>
      <c r="D34" s="2" t="s">
        <v>514</v>
      </c>
      <c r="E34" s="2" t="s">
        <v>15</v>
      </c>
      <c r="F34" s="2" t="s">
        <v>515</v>
      </c>
      <c r="G34" s="2" t="s">
        <v>516</v>
      </c>
      <c r="H34" s="2" t="s">
        <v>518</v>
      </c>
      <c r="I34" s="2" t="s">
        <v>519</v>
      </c>
      <c r="J34" s="2" t="s">
        <v>26</v>
      </c>
      <c r="K34" s="2" t="s">
        <v>21</v>
      </c>
      <c r="L34" s="2" t="s">
        <v>22</v>
      </c>
      <c r="M34" s="2" t="s">
        <v>92</v>
      </c>
    </row>
    <row r="35">
      <c r="A35" s="3">
        <v>2.0</v>
      </c>
      <c r="B35" s="3">
        <v>7.0</v>
      </c>
      <c r="C35" s="2" t="s">
        <v>13</v>
      </c>
      <c r="D35" s="2" t="s">
        <v>691</v>
      </c>
      <c r="E35" s="2" t="s">
        <v>117</v>
      </c>
      <c r="F35" s="2" t="s">
        <v>526</v>
      </c>
      <c r="G35" s="2" t="s">
        <v>528</v>
      </c>
      <c r="H35" s="2" t="s">
        <v>529</v>
      </c>
      <c r="I35" s="2" t="s">
        <v>531</v>
      </c>
      <c r="J35" s="2" t="s">
        <v>41</v>
      </c>
      <c r="K35" s="2" t="s">
        <v>21</v>
      </c>
      <c r="L35" s="2" t="s">
        <v>82</v>
      </c>
      <c r="M35" s="2" t="s">
        <v>92</v>
      </c>
    </row>
    <row r="36">
      <c r="A36" s="3">
        <v>2.0</v>
      </c>
      <c r="B36" s="3">
        <v>8.0</v>
      </c>
      <c r="C36" s="2" t="s">
        <v>13</v>
      </c>
      <c r="D36" s="2" t="s">
        <v>693</v>
      </c>
      <c r="E36" s="2" t="s">
        <v>537</v>
      </c>
      <c r="F36" s="2" t="s">
        <v>694</v>
      </c>
      <c r="G36" s="2" t="s">
        <v>540</v>
      </c>
      <c r="H36" s="2" t="s">
        <v>542</v>
      </c>
      <c r="I36" s="2" t="s">
        <v>545</v>
      </c>
      <c r="J36" s="2" t="s">
        <v>37</v>
      </c>
      <c r="K36" s="2" t="s">
        <v>33</v>
      </c>
      <c r="L36" s="2" t="s">
        <v>363</v>
      </c>
      <c r="M36" s="2" t="s">
        <v>92</v>
      </c>
    </row>
    <row r="37">
      <c r="A37" s="3">
        <v>2.0</v>
      </c>
      <c r="B37" s="3">
        <v>9.0</v>
      </c>
      <c r="C37" s="2" t="s">
        <v>13</v>
      </c>
      <c r="D37" s="2" t="s">
        <v>697</v>
      </c>
      <c r="E37" s="2" t="s">
        <v>549</v>
      </c>
      <c r="F37" s="2" t="s">
        <v>551</v>
      </c>
      <c r="G37" s="2" t="s">
        <v>552</v>
      </c>
      <c r="H37" s="2" t="s">
        <v>556</v>
      </c>
      <c r="I37" s="2" t="s">
        <v>557</v>
      </c>
      <c r="J37" s="2" t="s">
        <v>41</v>
      </c>
      <c r="K37" s="2" t="s">
        <v>33</v>
      </c>
      <c r="L37" s="2" t="s">
        <v>363</v>
      </c>
      <c r="M37" s="2" t="s">
        <v>92</v>
      </c>
    </row>
    <row r="38">
      <c r="A38" s="3">
        <v>2.0</v>
      </c>
      <c r="B38" s="3">
        <v>10.0</v>
      </c>
      <c r="C38" s="2" t="s">
        <v>13</v>
      </c>
      <c r="D38" s="2" t="s">
        <v>560</v>
      </c>
      <c r="E38" s="2" t="s">
        <v>563</v>
      </c>
      <c r="F38" s="2" t="s">
        <v>565</v>
      </c>
      <c r="G38" s="2" t="s">
        <v>567</v>
      </c>
      <c r="H38" s="2" t="s">
        <v>568</v>
      </c>
      <c r="I38" s="2" t="s">
        <v>569</v>
      </c>
      <c r="J38" s="2" t="s">
        <v>20</v>
      </c>
      <c r="K38" s="2" t="s">
        <v>21</v>
      </c>
      <c r="L38" s="2" t="s">
        <v>112</v>
      </c>
      <c r="M38" s="2" t="s">
        <v>92</v>
      </c>
    </row>
    <row r="39">
      <c r="A39" s="3">
        <v>2.0</v>
      </c>
      <c r="B39" s="3">
        <v>11.0</v>
      </c>
      <c r="C39" s="2" t="s">
        <v>13</v>
      </c>
      <c r="D39" s="2" t="s">
        <v>572</v>
      </c>
      <c r="E39" s="2" t="s">
        <v>703</v>
      </c>
      <c r="F39" s="2" t="s">
        <v>704</v>
      </c>
      <c r="G39" s="2" t="s">
        <v>705</v>
      </c>
      <c r="H39" s="2" t="s">
        <v>706</v>
      </c>
      <c r="I39" s="2" t="s">
        <v>707</v>
      </c>
      <c r="J39" s="2" t="s">
        <v>20</v>
      </c>
      <c r="K39" s="2" t="s">
        <v>21</v>
      </c>
      <c r="L39" s="2" t="s">
        <v>201</v>
      </c>
      <c r="M39" s="2" t="s">
        <v>43</v>
      </c>
    </row>
    <row r="40">
      <c r="A40" s="3">
        <v>2.0</v>
      </c>
      <c r="B40" s="3">
        <v>12.0</v>
      </c>
      <c r="C40" s="2" t="s">
        <v>13</v>
      </c>
      <c r="D40" s="2" t="s">
        <v>576</v>
      </c>
      <c r="E40" s="2" t="s">
        <v>579</v>
      </c>
      <c r="F40" s="2" t="s">
        <v>581</v>
      </c>
      <c r="G40" s="2" t="s">
        <v>582</v>
      </c>
      <c r="H40" s="2" t="s">
        <v>583</v>
      </c>
      <c r="I40" s="2" t="s">
        <v>584</v>
      </c>
      <c r="J40" s="2" t="s">
        <v>26</v>
      </c>
      <c r="K40" s="2" t="s">
        <v>21</v>
      </c>
      <c r="L40" s="2" t="s">
        <v>112</v>
      </c>
      <c r="M40" s="2" t="s">
        <v>92</v>
      </c>
    </row>
    <row r="41">
      <c r="A41" s="3">
        <v>2.0</v>
      </c>
      <c r="B41" s="3">
        <v>13.0</v>
      </c>
      <c r="C41" s="2" t="s">
        <v>13</v>
      </c>
      <c r="D41" s="2" t="s">
        <v>586</v>
      </c>
      <c r="E41" s="2" t="s">
        <v>587</v>
      </c>
      <c r="F41" s="2" t="s">
        <v>588</v>
      </c>
      <c r="G41" s="2" t="s">
        <v>590</v>
      </c>
      <c r="H41" s="2" t="s">
        <v>591</v>
      </c>
      <c r="I41" s="2" t="s">
        <v>593</v>
      </c>
      <c r="J41" s="2" t="s">
        <v>26</v>
      </c>
      <c r="K41" s="2" t="s">
        <v>21</v>
      </c>
      <c r="L41" s="2" t="s">
        <v>112</v>
      </c>
      <c r="M41" s="2" t="s">
        <v>92</v>
      </c>
    </row>
    <row r="42">
      <c r="A42" s="3">
        <v>2.0</v>
      </c>
      <c r="B42" s="3">
        <v>14.0</v>
      </c>
      <c r="C42" s="2" t="s">
        <v>13</v>
      </c>
      <c r="D42" s="2" t="s">
        <v>597</v>
      </c>
      <c r="E42" s="2" t="s">
        <v>598</v>
      </c>
      <c r="F42" s="2" t="s">
        <v>599</v>
      </c>
      <c r="G42" s="1" t="s">
        <v>159</v>
      </c>
      <c r="H42" s="1" t="s">
        <v>159</v>
      </c>
      <c r="I42" s="1" t="s">
        <v>159</v>
      </c>
      <c r="J42" s="2" t="s">
        <v>20</v>
      </c>
      <c r="K42" s="2" t="s">
        <v>33</v>
      </c>
      <c r="L42" s="2" t="s">
        <v>136</v>
      </c>
      <c r="M42" s="2" t="s">
        <v>92</v>
      </c>
    </row>
    <row r="43">
      <c r="A43" s="3">
        <v>2.0</v>
      </c>
      <c r="B43" s="3">
        <v>15.0</v>
      </c>
      <c r="C43" s="2" t="s">
        <v>13</v>
      </c>
      <c r="D43" s="2" t="s">
        <v>721</v>
      </c>
      <c r="E43" s="2" t="s">
        <v>601</v>
      </c>
      <c r="F43" s="2" t="s">
        <v>602</v>
      </c>
      <c r="G43" s="1" t="s">
        <v>159</v>
      </c>
      <c r="H43" s="1" t="s">
        <v>159</v>
      </c>
      <c r="I43" s="1" t="s">
        <v>159</v>
      </c>
      <c r="J43" s="2" t="s">
        <v>20</v>
      </c>
      <c r="K43" s="2" t="s">
        <v>21</v>
      </c>
      <c r="L43" s="2" t="s">
        <v>136</v>
      </c>
      <c r="M43" s="2" t="s">
        <v>92</v>
      </c>
    </row>
    <row r="44">
      <c r="A44" s="3">
        <v>2.0</v>
      </c>
      <c r="B44" s="3">
        <v>16.0</v>
      </c>
      <c r="C44" s="2" t="s">
        <v>13</v>
      </c>
      <c r="D44" s="2" t="s">
        <v>727</v>
      </c>
      <c r="E44" s="2" t="s">
        <v>161</v>
      </c>
      <c r="F44" s="2" t="s">
        <v>604</v>
      </c>
      <c r="G44" s="2" t="s">
        <v>605</v>
      </c>
      <c r="H44" s="2" t="s">
        <v>729</v>
      </c>
      <c r="I44" s="2" t="s">
        <v>607</v>
      </c>
      <c r="J44" s="2" t="s">
        <v>41</v>
      </c>
      <c r="K44" s="2" t="s">
        <v>33</v>
      </c>
      <c r="L44" s="2" t="s">
        <v>166</v>
      </c>
      <c r="M44" s="2" t="s">
        <v>92</v>
      </c>
    </row>
    <row r="45">
      <c r="A45" s="3">
        <v>2.0</v>
      </c>
      <c r="B45" s="3">
        <v>17.0</v>
      </c>
      <c r="C45" s="2" t="s">
        <v>13</v>
      </c>
      <c r="D45" s="2" t="s">
        <v>608</v>
      </c>
      <c r="E45" s="2" t="s">
        <v>161</v>
      </c>
      <c r="F45" s="2" t="s">
        <v>609</v>
      </c>
      <c r="G45" s="2" t="s">
        <v>610</v>
      </c>
      <c r="H45" s="2" t="s">
        <v>611</v>
      </c>
      <c r="I45" s="2" t="s">
        <v>612</v>
      </c>
      <c r="J45" s="2" t="s">
        <v>41</v>
      </c>
      <c r="K45" s="2" t="s">
        <v>21</v>
      </c>
      <c r="L45" s="2" t="s">
        <v>166</v>
      </c>
      <c r="M45" s="2" t="s">
        <v>92</v>
      </c>
    </row>
    <row r="46">
      <c r="A46" s="3">
        <v>2.0</v>
      </c>
      <c r="B46" s="3">
        <v>18.0</v>
      </c>
      <c r="C46" s="2" t="s">
        <v>13</v>
      </c>
      <c r="D46" s="2" t="s">
        <v>736</v>
      </c>
      <c r="E46" s="2" t="s">
        <v>161</v>
      </c>
      <c r="F46" s="2" t="s">
        <v>614</v>
      </c>
      <c r="G46" s="2" t="s">
        <v>615</v>
      </c>
      <c r="H46" s="2" t="s">
        <v>617</v>
      </c>
      <c r="I46" s="2" t="s">
        <v>618</v>
      </c>
      <c r="J46" s="2" t="s">
        <v>41</v>
      </c>
      <c r="K46" s="2" t="s">
        <v>33</v>
      </c>
      <c r="L46" s="2" t="s">
        <v>166</v>
      </c>
      <c r="M46" s="2" t="s">
        <v>92</v>
      </c>
    </row>
    <row r="47">
      <c r="A47" s="3">
        <v>2.0</v>
      </c>
      <c r="B47" s="3">
        <v>19.0</v>
      </c>
      <c r="C47" s="2" t="s">
        <v>13</v>
      </c>
      <c r="D47" s="2" t="s">
        <v>742</v>
      </c>
      <c r="E47" s="2" t="s">
        <v>168</v>
      </c>
      <c r="F47" s="2" t="s">
        <v>620</v>
      </c>
      <c r="G47" s="2" t="s">
        <v>621</v>
      </c>
      <c r="H47" s="2" t="s">
        <v>622</v>
      </c>
      <c r="I47" s="2" t="s">
        <v>623</v>
      </c>
      <c r="J47" s="2" t="s">
        <v>41</v>
      </c>
      <c r="K47" s="2" t="s">
        <v>33</v>
      </c>
      <c r="L47" s="2" t="s">
        <v>184</v>
      </c>
      <c r="M47" s="2" t="s">
        <v>23</v>
      </c>
    </row>
    <row r="48">
      <c r="A48" s="3">
        <v>2.0</v>
      </c>
      <c r="B48" s="3">
        <v>20.0</v>
      </c>
      <c r="C48" s="2" t="s">
        <v>13</v>
      </c>
      <c r="D48" s="2" t="s">
        <v>744</v>
      </c>
      <c r="E48" s="2" t="s">
        <v>168</v>
      </c>
      <c r="F48" s="2" t="s">
        <v>625</v>
      </c>
      <c r="G48" s="2" t="s">
        <v>626</v>
      </c>
      <c r="H48" s="2" t="s">
        <v>627</v>
      </c>
      <c r="I48" s="2" t="s">
        <v>628</v>
      </c>
      <c r="J48" s="2" t="s">
        <v>26</v>
      </c>
      <c r="K48" s="2" t="s">
        <v>81</v>
      </c>
      <c r="L48" s="2" t="s">
        <v>173</v>
      </c>
      <c r="M48" s="2" t="s">
        <v>92</v>
      </c>
    </row>
    <row r="49">
      <c r="A49" s="3">
        <v>2.0</v>
      </c>
      <c r="B49" s="3">
        <v>21.0</v>
      </c>
      <c r="C49" s="2" t="s">
        <v>13</v>
      </c>
      <c r="D49" s="2" t="s">
        <v>629</v>
      </c>
      <c r="E49" s="2" t="s">
        <v>168</v>
      </c>
      <c r="F49" s="2" t="s">
        <v>630</v>
      </c>
      <c r="G49" s="2" t="s">
        <v>631</v>
      </c>
      <c r="H49" s="2" t="s">
        <v>632</v>
      </c>
      <c r="I49" s="2" t="s">
        <v>633</v>
      </c>
      <c r="J49" s="2" t="s">
        <v>37</v>
      </c>
      <c r="K49" s="2" t="s">
        <v>33</v>
      </c>
      <c r="L49" s="2" t="s">
        <v>173</v>
      </c>
      <c r="M49" s="2" t="s">
        <v>23</v>
      </c>
    </row>
    <row r="50">
      <c r="A50" s="3">
        <v>2.0</v>
      </c>
      <c r="B50" s="3">
        <v>22.0</v>
      </c>
      <c r="C50" s="2" t="s">
        <v>13</v>
      </c>
      <c r="D50" s="2" t="s">
        <v>634</v>
      </c>
      <c r="E50" s="2" t="s">
        <v>168</v>
      </c>
      <c r="F50" s="2" t="s">
        <v>635</v>
      </c>
      <c r="G50" s="2" t="s">
        <v>636</v>
      </c>
      <c r="H50" s="2" t="s">
        <v>637</v>
      </c>
      <c r="I50" s="2" t="s">
        <v>638</v>
      </c>
      <c r="J50" s="2" t="s">
        <v>20</v>
      </c>
      <c r="K50" s="2" t="s">
        <v>21</v>
      </c>
      <c r="L50" s="2" t="s">
        <v>184</v>
      </c>
      <c r="M50" s="2" t="s">
        <v>23</v>
      </c>
    </row>
    <row r="51">
      <c r="A51" s="3">
        <v>2.0</v>
      </c>
      <c r="B51" s="3">
        <v>23.0</v>
      </c>
      <c r="C51" s="2" t="s">
        <v>13</v>
      </c>
      <c r="D51" s="2" t="s">
        <v>756</v>
      </c>
      <c r="E51" s="2" t="s">
        <v>168</v>
      </c>
      <c r="F51" s="2" t="s">
        <v>640</v>
      </c>
      <c r="G51" s="2" t="s">
        <v>384</v>
      </c>
      <c r="H51" s="2" t="s">
        <v>641</v>
      </c>
      <c r="I51" s="2" t="s">
        <v>386</v>
      </c>
      <c r="J51" s="2" t="s">
        <v>26</v>
      </c>
      <c r="K51" s="2" t="s">
        <v>33</v>
      </c>
      <c r="L51" s="2" t="s">
        <v>173</v>
      </c>
      <c r="M51" s="2" t="s">
        <v>92</v>
      </c>
    </row>
    <row r="52">
      <c r="A52" s="3">
        <v>2.0</v>
      </c>
      <c r="B52" s="3">
        <v>24.0</v>
      </c>
      <c r="C52" s="2" t="s">
        <v>13</v>
      </c>
      <c r="D52" s="2" t="s">
        <v>644</v>
      </c>
      <c r="E52" s="2" t="s">
        <v>168</v>
      </c>
      <c r="F52" s="1" t="s">
        <v>159</v>
      </c>
      <c r="G52" s="1" t="s">
        <v>159</v>
      </c>
      <c r="H52" s="1" t="s">
        <v>159</v>
      </c>
      <c r="I52" s="1" t="s">
        <v>159</v>
      </c>
      <c r="J52" s="2">
        <v>1714.0</v>
      </c>
      <c r="K52" s="2" t="s">
        <v>329</v>
      </c>
      <c r="L52" s="2" t="s">
        <v>329</v>
      </c>
      <c r="M52" s="2" t="s">
        <v>329</v>
      </c>
    </row>
    <row r="53">
      <c r="A53" s="3">
        <v>2.0</v>
      </c>
      <c r="B53" s="3">
        <v>25.0</v>
      </c>
      <c r="C53" s="2" t="s">
        <v>13</v>
      </c>
      <c r="D53" s="2" t="s">
        <v>646</v>
      </c>
      <c r="E53" s="2" t="s">
        <v>196</v>
      </c>
      <c r="F53" s="2" t="s">
        <v>561</v>
      </c>
      <c r="G53" s="2" t="s">
        <v>562</v>
      </c>
      <c r="H53" s="2" t="s">
        <v>566</v>
      </c>
      <c r="I53" s="2" t="s">
        <v>564</v>
      </c>
      <c r="J53" s="2" t="s">
        <v>37</v>
      </c>
      <c r="K53" s="2" t="s">
        <v>33</v>
      </c>
      <c r="L53" s="2" t="s">
        <v>201</v>
      </c>
      <c r="M53" s="2" t="s">
        <v>23</v>
      </c>
    </row>
    <row r="54">
      <c r="A54" s="3">
        <v>2.0</v>
      </c>
      <c r="B54" s="3">
        <v>26.0</v>
      </c>
      <c r="C54" s="2" t="s">
        <v>13</v>
      </c>
      <c r="D54" s="2" t="s">
        <v>647</v>
      </c>
      <c r="E54" s="2" t="s">
        <v>196</v>
      </c>
      <c r="F54" s="2" t="s">
        <v>562</v>
      </c>
      <c r="G54" s="2" t="s">
        <v>203</v>
      </c>
      <c r="H54" s="2" t="s">
        <v>649</v>
      </c>
      <c r="I54" s="2" t="s">
        <v>561</v>
      </c>
      <c r="J54" s="2" t="s">
        <v>20</v>
      </c>
      <c r="K54" s="2" t="s">
        <v>21</v>
      </c>
      <c r="L54" s="2" t="s">
        <v>201</v>
      </c>
      <c r="M54" s="2" t="s">
        <v>23</v>
      </c>
    </row>
    <row r="55">
      <c r="A55" s="3">
        <v>2.0</v>
      </c>
      <c r="B55" s="3">
        <v>27.0</v>
      </c>
      <c r="C55" s="2" t="s">
        <v>13</v>
      </c>
      <c r="D55" s="2" t="s">
        <v>651</v>
      </c>
      <c r="E55" s="2" t="s">
        <v>196</v>
      </c>
      <c r="F55" s="2" t="s">
        <v>198</v>
      </c>
      <c r="G55" s="2" t="s">
        <v>652</v>
      </c>
      <c r="H55" s="2" t="s">
        <v>561</v>
      </c>
      <c r="I55" s="2" t="s">
        <v>653</v>
      </c>
      <c r="J55" s="2" t="s">
        <v>20</v>
      </c>
      <c r="K55" s="2" t="s">
        <v>33</v>
      </c>
      <c r="L55" s="2" t="s">
        <v>201</v>
      </c>
      <c r="M55" s="2" t="s">
        <v>23</v>
      </c>
    </row>
    <row r="56">
      <c r="A56" s="3">
        <v>1.0</v>
      </c>
      <c r="B56" s="3">
        <v>1.0</v>
      </c>
      <c r="C56" s="2" t="s">
        <v>316</v>
      </c>
      <c r="D56" s="2" t="s">
        <v>659</v>
      </c>
      <c r="E56" s="2" t="s">
        <v>196</v>
      </c>
      <c r="F56" s="2" t="s">
        <v>767</v>
      </c>
      <c r="G56" s="2" t="s">
        <v>768</v>
      </c>
      <c r="H56" s="2" t="s">
        <v>769</v>
      </c>
      <c r="I56" s="2" t="s">
        <v>770</v>
      </c>
      <c r="J56" s="2" t="s">
        <v>41</v>
      </c>
      <c r="K56" s="2" t="s">
        <v>662</v>
      </c>
      <c r="L56" s="2" t="s">
        <v>662</v>
      </c>
      <c r="M56" s="2" t="s">
        <v>662</v>
      </c>
    </row>
    <row r="57">
      <c r="A57" s="3">
        <v>1.0</v>
      </c>
      <c r="B57" s="3">
        <v>2.0</v>
      </c>
      <c r="C57" s="2" t="s">
        <v>316</v>
      </c>
      <c r="D57" s="1" t="s">
        <v>159</v>
      </c>
      <c r="E57" s="2" t="s">
        <v>196</v>
      </c>
      <c r="F57" s="2" t="s">
        <v>664</v>
      </c>
      <c r="G57" s="2" t="s">
        <v>197</v>
      </c>
      <c r="H57" s="2" t="s">
        <v>665</v>
      </c>
      <c r="I57" s="2" t="s">
        <v>666</v>
      </c>
      <c r="J57" s="2" t="s">
        <v>26</v>
      </c>
      <c r="K57" s="2" t="s">
        <v>662</v>
      </c>
      <c r="L57" s="2" t="s">
        <v>662</v>
      </c>
      <c r="M57" s="2" t="s">
        <v>662</v>
      </c>
    </row>
    <row r="58">
      <c r="A58" s="3">
        <v>1.0</v>
      </c>
      <c r="B58" s="3">
        <v>3.0</v>
      </c>
      <c r="C58" s="2" t="s">
        <v>316</v>
      </c>
      <c r="D58" s="2" t="s">
        <v>668</v>
      </c>
      <c r="E58" s="2" t="s">
        <v>196</v>
      </c>
      <c r="F58" s="2" t="s">
        <v>564</v>
      </c>
      <c r="G58" s="2" t="s">
        <v>669</v>
      </c>
      <c r="H58" s="2" t="s">
        <v>670</v>
      </c>
      <c r="I58" s="2" t="s">
        <v>671</v>
      </c>
      <c r="J58" s="2" t="s">
        <v>41</v>
      </c>
      <c r="K58" s="2" t="s">
        <v>662</v>
      </c>
      <c r="L58" s="2" t="s">
        <v>662</v>
      </c>
      <c r="M58" s="2" t="s">
        <v>662</v>
      </c>
    </row>
    <row r="59">
      <c r="A59" s="3">
        <v>1.0</v>
      </c>
      <c r="B59" s="3">
        <v>4.0</v>
      </c>
      <c r="C59" s="2" t="s">
        <v>316</v>
      </c>
      <c r="D59" s="2" t="s">
        <v>672</v>
      </c>
      <c r="E59" s="2" t="s">
        <v>673</v>
      </c>
      <c r="F59" s="2" t="s">
        <v>674</v>
      </c>
      <c r="G59" s="2" t="s">
        <v>675</v>
      </c>
      <c r="H59" s="2" t="s">
        <v>676</v>
      </c>
      <c r="I59" s="2" t="s">
        <v>677</v>
      </c>
      <c r="J59" s="2" t="s">
        <v>20</v>
      </c>
      <c r="K59" s="2" t="s">
        <v>662</v>
      </c>
      <c r="L59" s="2" t="s">
        <v>662</v>
      </c>
      <c r="M59" s="2" t="s">
        <v>662</v>
      </c>
    </row>
    <row r="60">
      <c r="A60" s="3">
        <v>1.0</v>
      </c>
      <c r="B60" s="3">
        <v>5.0</v>
      </c>
      <c r="C60" s="2" t="s">
        <v>316</v>
      </c>
      <c r="D60" s="1" t="s">
        <v>159</v>
      </c>
      <c r="E60" s="2" t="s">
        <v>681</v>
      </c>
      <c r="F60" s="1" t="s">
        <v>159</v>
      </c>
      <c r="G60" s="1" t="s">
        <v>159</v>
      </c>
      <c r="H60" s="1" t="s">
        <v>159</v>
      </c>
      <c r="I60" s="1" t="s">
        <v>159</v>
      </c>
      <c r="J60" s="2">
        <v>602.0</v>
      </c>
      <c r="K60" s="2" t="s">
        <v>662</v>
      </c>
      <c r="L60" s="2" t="s">
        <v>662</v>
      </c>
      <c r="M60" s="2" t="s">
        <v>662</v>
      </c>
    </row>
    <row r="61">
      <c r="A61" s="3">
        <v>1.0</v>
      </c>
      <c r="B61" s="3">
        <v>6.0</v>
      </c>
      <c r="C61" s="2" t="s">
        <v>316</v>
      </c>
      <c r="D61" s="2" t="s">
        <v>683</v>
      </c>
      <c r="E61" s="2" t="s">
        <v>782</v>
      </c>
      <c r="F61" s="2" t="s">
        <v>684</v>
      </c>
      <c r="G61" s="2" t="s">
        <v>685</v>
      </c>
      <c r="H61" s="8">
        <v>46026.0</v>
      </c>
      <c r="I61" s="8">
        <v>46213.0</v>
      </c>
      <c r="J61" s="2" t="s">
        <v>26</v>
      </c>
      <c r="K61" s="2" t="s">
        <v>662</v>
      </c>
      <c r="L61" s="2" t="s">
        <v>662</v>
      </c>
      <c r="M61" s="2" t="s">
        <v>662</v>
      </c>
    </row>
    <row r="62">
      <c r="A62" s="3">
        <v>1.0</v>
      </c>
      <c r="B62" s="3">
        <v>7.0</v>
      </c>
      <c r="C62" s="2" t="s">
        <v>316</v>
      </c>
      <c r="D62" s="1" t="s">
        <v>159</v>
      </c>
      <c r="E62" s="2" t="s">
        <v>784</v>
      </c>
      <c r="F62" s="2">
        <v>-3.0</v>
      </c>
      <c r="G62" s="2">
        <v>15.0</v>
      </c>
      <c r="H62" s="2">
        <v>18.0</v>
      </c>
      <c r="I62" s="2">
        <v>21.0</v>
      </c>
      <c r="J62" s="2" t="s">
        <v>41</v>
      </c>
      <c r="K62" s="2" t="s">
        <v>662</v>
      </c>
      <c r="L62" s="2" t="s">
        <v>662</v>
      </c>
      <c r="M62" s="2" t="s">
        <v>662</v>
      </c>
    </row>
    <row r="63">
      <c r="A63" s="3">
        <v>1.0</v>
      </c>
      <c r="B63" s="3">
        <v>8.0</v>
      </c>
      <c r="C63" s="2" t="s">
        <v>316</v>
      </c>
      <c r="D63" s="1" t="s">
        <v>159</v>
      </c>
      <c r="E63" s="2" t="s">
        <v>688</v>
      </c>
      <c r="F63" s="1" t="s">
        <v>159</v>
      </c>
      <c r="G63" s="1" t="s">
        <v>159</v>
      </c>
      <c r="H63" s="1" t="s">
        <v>159</v>
      </c>
      <c r="I63" s="1" t="s">
        <v>159</v>
      </c>
      <c r="J63" s="2">
        <v>654.0</v>
      </c>
      <c r="K63" s="2" t="s">
        <v>662</v>
      </c>
      <c r="L63" s="2" t="s">
        <v>662</v>
      </c>
      <c r="M63" s="2" t="s">
        <v>662</v>
      </c>
    </row>
    <row r="64">
      <c r="A64" s="3">
        <v>1.0</v>
      </c>
      <c r="B64" s="3">
        <v>9.0</v>
      </c>
      <c r="C64" s="2" t="s">
        <v>316</v>
      </c>
      <c r="D64" s="1" t="s">
        <v>159</v>
      </c>
      <c r="E64" s="2" t="s">
        <v>689</v>
      </c>
      <c r="F64" s="1" t="s">
        <v>159</v>
      </c>
      <c r="G64" s="1" t="s">
        <v>159</v>
      </c>
      <c r="H64" s="1" t="s">
        <v>159</v>
      </c>
      <c r="I64" s="1" t="s">
        <v>159</v>
      </c>
      <c r="J64" s="2">
        <v>5900.0</v>
      </c>
      <c r="K64" s="2" t="s">
        <v>662</v>
      </c>
      <c r="L64" s="2" t="s">
        <v>662</v>
      </c>
      <c r="M64" s="2" t="s">
        <v>662</v>
      </c>
    </row>
    <row r="65">
      <c r="A65" s="3">
        <v>1.0</v>
      </c>
      <c r="B65" s="3">
        <v>10.0</v>
      </c>
      <c r="C65" s="2" t="s">
        <v>316</v>
      </c>
      <c r="D65" s="1" t="s">
        <v>159</v>
      </c>
      <c r="E65" s="2" t="s">
        <v>690</v>
      </c>
      <c r="F65" s="1" t="s">
        <v>159</v>
      </c>
      <c r="G65" s="1" t="s">
        <v>159</v>
      </c>
      <c r="H65" s="1" t="s">
        <v>159</v>
      </c>
      <c r="I65" s="1" t="s">
        <v>159</v>
      </c>
      <c r="J65" s="2">
        <v>1.2</v>
      </c>
      <c r="K65" s="2" t="s">
        <v>662</v>
      </c>
      <c r="L65" s="2" t="s">
        <v>662</v>
      </c>
      <c r="M65" s="2" t="s">
        <v>662</v>
      </c>
    </row>
    <row r="66">
      <c r="A66" s="3">
        <v>1.0</v>
      </c>
      <c r="B66" s="3">
        <v>11.0</v>
      </c>
      <c r="C66" s="2" t="s">
        <v>316</v>
      </c>
      <c r="D66" s="1" t="s">
        <v>159</v>
      </c>
      <c r="E66" s="2" t="s">
        <v>692</v>
      </c>
      <c r="F66" s="2">
        <v>64.0</v>
      </c>
      <c r="G66" s="2">
        <v>81.0</v>
      </c>
      <c r="H66" s="2">
        <v>258.0</v>
      </c>
      <c r="I66" s="2">
        <v>384.0</v>
      </c>
      <c r="J66" s="2" t="s">
        <v>41</v>
      </c>
      <c r="K66" s="2" t="s">
        <v>662</v>
      </c>
      <c r="L66" s="2" t="s">
        <v>662</v>
      </c>
      <c r="M66" s="2" t="s">
        <v>662</v>
      </c>
    </row>
    <row r="67">
      <c r="A67" s="3">
        <v>1.0</v>
      </c>
      <c r="B67" s="3">
        <v>12.0</v>
      </c>
      <c r="C67" s="2" t="s">
        <v>316</v>
      </c>
      <c r="D67" s="2" t="s">
        <v>791</v>
      </c>
      <c r="E67" s="2" t="s">
        <v>696</v>
      </c>
      <c r="F67" s="1" t="s">
        <v>159</v>
      </c>
      <c r="G67" s="1" t="s">
        <v>159</v>
      </c>
      <c r="H67" s="1" t="s">
        <v>159</v>
      </c>
      <c r="I67" s="1" t="s">
        <v>159</v>
      </c>
      <c r="J67" s="2" t="s">
        <v>26</v>
      </c>
      <c r="K67" s="2" t="s">
        <v>662</v>
      </c>
      <c r="L67" s="2" t="s">
        <v>662</v>
      </c>
      <c r="M67" s="2" t="s">
        <v>662</v>
      </c>
    </row>
    <row r="68">
      <c r="A68" s="3">
        <v>1.0</v>
      </c>
      <c r="B68" s="3">
        <v>13.0</v>
      </c>
      <c r="C68" s="2" t="s">
        <v>316</v>
      </c>
      <c r="D68" s="1" t="s">
        <v>159</v>
      </c>
      <c r="E68" s="2" t="s">
        <v>798</v>
      </c>
      <c r="F68" s="1" t="s">
        <v>159</v>
      </c>
      <c r="G68" s="1" t="s">
        <v>159</v>
      </c>
      <c r="H68" s="1" t="s">
        <v>159</v>
      </c>
      <c r="I68" s="1" t="s">
        <v>159</v>
      </c>
      <c r="J68" s="2" t="s">
        <v>20</v>
      </c>
      <c r="K68" s="2" t="s">
        <v>662</v>
      </c>
      <c r="L68" s="2" t="s">
        <v>662</v>
      </c>
      <c r="M68" s="2" t="s">
        <v>662</v>
      </c>
    </row>
    <row r="69">
      <c r="A69" s="3">
        <v>1.0</v>
      </c>
      <c r="B69" s="3">
        <v>14.0</v>
      </c>
      <c r="C69" s="2" t="s">
        <v>316</v>
      </c>
      <c r="D69" s="2" t="s">
        <v>805</v>
      </c>
      <c r="E69" s="2" t="s">
        <v>806</v>
      </c>
      <c r="F69" s="1" t="s">
        <v>159</v>
      </c>
      <c r="G69" s="1" t="s">
        <v>159</v>
      </c>
      <c r="H69" s="1" t="s">
        <v>159</v>
      </c>
      <c r="I69" s="1" t="s">
        <v>159</v>
      </c>
      <c r="J69" s="2">
        <v>208.0</v>
      </c>
      <c r="K69" s="2" t="s">
        <v>662</v>
      </c>
      <c r="L69" s="2" t="s">
        <v>662</v>
      </c>
      <c r="M69" s="2" t="s">
        <v>662</v>
      </c>
    </row>
    <row r="70">
      <c r="A70" s="3">
        <v>1.0</v>
      </c>
      <c r="B70" s="3">
        <v>15.0</v>
      </c>
      <c r="C70" s="2" t="s">
        <v>316</v>
      </c>
      <c r="D70" s="2" t="s">
        <v>808</v>
      </c>
      <c r="E70" s="1" t="s">
        <v>159</v>
      </c>
      <c r="F70" s="1" t="s">
        <v>159</v>
      </c>
      <c r="G70" s="1" t="s">
        <v>159</v>
      </c>
      <c r="H70" s="1" t="s">
        <v>159</v>
      </c>
      <c r="I70" s="1" t="s">
        <v>159</v>
      </c>
      <c r="J70" s="2">
        <v>15.0</v>
      </c>
      <c r="K70" s="2" t="s">
        <v>662</v>
      </c>
      <c r="L70" s="2" t="s">
        <v>662</v>
      </c>
      <c r="M70" s="2" t="s">
        <v>662</v>
      </c>
    </row>
    <row r="71">
      <c r="A71" s="3">
        <v>1.0</v>
      </c>
      <c r="B71" s="3">
        <v>16.0</v>
      </c>
      <c r="C71" s="2" t="s">
        <v>316</v>
      </c>
      <c r="D71" s="1" t="s">
        <v>159</v>
      </c>
      <c r="E71" s="2" t="s">
        <v>809</v>
      </c>
      <c r="F71" s="2">
        <v>40.0</v>
      </c>
      <c r="G71" s="2">
        <v>20.0</v>
      </c>
      <c r="H71" s="2">
        <v>10.0</v>
      </c>
      <c r="I71" s="6" t="s">
        <v>883</v>
      </c>
      <c r="J71" s="2">
        <v>20.0</v>
      </c>
      <c r="K71" s="2" t="s">
        <v>662</v>
      </c>
      <c r="L71" s="2" t="s">
        <v>662</v>
      </c>
      <c r="M71" s="2" t="s">
        <v>662</v>
      </c>
    </row>
    <row r="72">
      <c r="A72" s="3">
        <v>1.0</v>
      </c>
      <c r="B72" s="3">
        <v>17.0</v>
      </c>
      <c r="C72" s="2" t="s">
        <v>316</v>
      </c>
      <c r="D72" s="2" t="s">
        <v>811</v>
      </c>
      <c r="E72" s="2" t="s">
        <v>710</v>
      </c>
      <c r="F72" s="2" t="s">
        <v>711</v>
      </c>
      <c r="G72" s="8">
        <v>46048.0</v>
      </c>
      <c r="H72" s="2" t="s">
        <v>712</v>
      </c>
      <c r="I72" s="2" t="s">
        <v>713</v>
      </c>
      <c r="J72" s="2" t="s">
        <v>41</v>
      </c>
      <c r="K72" s="2" t="s">
        <v>662</v>
      </c>
      <c r="L72" s="2" t="s">
        <v>662</v>
      </c>
      <c r="M72" s="2" t="s">
        <v>662</v>
      </c>
      <c r="N72" s="7" t="str">
        <f>IMAGE("https://lh3.googleusercontent.com/d/15cx6OxqQXbdb4DboazSb15EPe3EYTkUs")</f>
        <v/>
      </c>
    </row>
    <row r="73">
      <c r="A73" s="3">
        <v>1.0</v>
      </c>
      <c r="B73" s="3">
        <v>18.0</v>
      </c>
      <c r="C73" s="2" t="s">
        <v>316</v>
      </c>
      <c r="D73" s="6" t="s">
        <v>894</v>
      </c>
      <c r="E73" s="2" t="s">
        <v>817</v>
      </c>
      <c r="F73" s="2" t="s">
        <v>818</v>
      </c>
      <c r="G73" s="2" t="s">
        <v>820</v>
      </c>
      <c r="H73" s="2" t="s">
        <v>725</v>
      </c>
      <c r="I73" s="2" t="s">
        <v>781</v>
      </c>
      <c r="J73" s="2" t="s">
        <v>37</v>
      </c>
      <c r="K73" s="2" t="s">
        <v>662</v>
      </c>
      <c r="L73" s="2" t="s">
        <v>662</v>
      </c>
      <c r="M73" s="2" t="s">
        <v>662</v>
      </c>
    </row>
    <row r="74">
      <c r="A74" s="3">
        <v>1.0</v>
      </c>
      <c r="B74" s="3">
        <v>19.0</v>
      </c>
      <c r="C74" s="2" t="s">
        <v>316</v>
      </c>
      <c r="D74" s="1" t="s">
        <v>159</v>
      </c>
      <c r="E74" s="2" t="s">
        <v>821</v>
      </c>
      <c r="F74" s="2" t="s">
        <v>717</v>
      </c>
      <c r="G74" s="2" t="s">
        <v>718</v>
      </c>
      <c r="H74" s="2" t="s">
        <v>719</v>
      </c>
      <c r="I74" s="2" t="s">
        <v>720</v>
      </c>
      <c r="J74" s="2" t="s">
        <v>37</v>
      </c>
      <c r="K74" s="2" t="s">
        <v>662</v>
      </c>
      <c r="L74" s="2" t="s">
        <v>662</v>
      </c>
      <c r="M74" s="2" t="s">
        <v>662</v>
      </c>
    </row>
    <row r="75">
      <c r="A75" s="3">
        <v>1.0</v>
      </c>
      <c r="B75" s="3">
        <v>20.0</v>
      </c>
      <c r="C75" s="2" t="s">
        <v>316</v>
      </c>
      <c r="D75" s="1" t="s">
        <v>159</v>
      </c>
      <c r="E75" s="6" t="s">
        <v>898</v>
      </c>
      <c r="F75" s="2" t="s">
        <v>723</v>
      </c>
      <c r="G75" s="2" t="s">
        <v>724</v>
      </c>
      <c r="H75" s="2" t="s">
        <v>725</v>
      </c>
      <c r="I75" s="2" t="s">
        <v>726</v>
      </c>
      <c r="J75" s="2" t="s">
        <v>20</v>
      </c>
      <c r="K75" s="2" t="s">
        <v>662</v>
      </c>
      <c r="L75" s="2" t="s">
        <v>662</v>
      </c>
      <c r="M75" s="2" t="s">
        <v>662</v>
      </c>
    </row>
    <row r="76">
      <c r="A76" s="3">
        <v>1.0</v>
      </c>
      <c r="B76" s="3">
        <v>21.0</v>
      </c>
      <c r="C76" s="2" t="s">
        <v>316</v>
      </c>
      <c r="D76" s="1" t="s">
        <v>159</v>
      </c>
      <c r="E76" s="2" t="s">
        <v>830</v>
      </c>
      <c r="F76" s="1" t="s">
        <v>159</v>
      </c>
      <c r="G76" s="1" t="s">
        <v>159</v>
      </c>
      <c r="H76" s="1" t="s">
        <v>159</v>
      </c>
      <c r="I76" s="1" t="s">
        <v>159</v>
      </c>
      <c r="J76" s="2">
        <v>10.0</v>
      </c>
      <c r="K76" s="2" t="s">
        <v>662</v>
      </c>
      <c r="L76" s="2" t="s">
        <v>662</v>
      </c>
      <c r="M76" s="2" t="s">
        <v>662</v>
      </c>
    </row>
    <row r="77">
      <c r="A77" s="3">
        <v>1.0</v>
      </c>
      <c r="B77" s="3">
        <v>22.0</v>
      </c>
      <c r="C77" s="2" t="s">
        <v>316</v>
      </c>
      <c r="D77" s="2" t="s">
        <v>730</v>
      </c>
      <c r="E77" s="2" t="s">
        <v>832</v>
      </c>
      <c r="F77" s="2" t="s">
        <v>732</v>
      </c>
      <c r="G77" s="2" t="s">
        <v>733</v>
      </c>
      <c r="H77" s="2" t="s">
        <v>734</v>
      </c>
      <c r="I77" s="2" t="s">
        <v>735</v>
      </c>
      <c r="J77" s="2" t="s">
        <v>20</v>
      </c>
      <c r="K77" s="2" t="s">
        <v>662</v>
      </c>
      <c r="L77" s="2" t="s">
        <v>662</v>
      </c>
      <c r="M77" s="2" t="s">
        <v>662</v>
      </c>
    </row>
    <row r="78">
      <c r="A78" s="3">
        <v>1.0</v>
      </c>
      <c r="B78" s="3">
        <v>23.0</v>
      </c>
      <c r="C78" s="2" t="s">
        <v>316</v>
      </c>
      <c r="D78" s="4" t="s">
        <v>909</v>
      </c>
      <c r="E78" s="2" t="s">
        <v>696</v>
      </c>
      <c r="F78" s="1" t="str">
        <f>IMAGE("https://lh3.googleusercontent.com/d/15u5X-xhnEtasGMf6wzINSOV0Yp9Nkloc")</f>
        <v/>
      </c>
      <c r="G78" s="1" t="str">
        <f>IMAGE("https://lh3.googleusercontent.com/d/1vUmpOpSjva-VtMEttP5xos7KitwWOkY-")</f>
        <v/>
      </c>
      <c r="H78" s="1" t="str">
        <f>IMAGE("https://lh3.googleusercontent.com/d/1__0Efs6Ojr4FfMleGhxxn-pl4t7u9VNB")</f>
        <v/>
      </c>
      <c r="I78" s="1" t="str">
        <f>IMAGE("https://lh3.googleusercontent.com/d/1ivh1Ud3_gLqgpb6JL_8xH-l1yejFiYBe")</f>
        <v/>
      </c>
      <c r="J78" s="2" t="s">
        <v>26</v>
      </c>
      <c r="K78" s="2" t="s">
        <v>662</v>
      </c>
      <c r="L78" s="2" t="s">
        <v>662</v>
      </c>
      <c r="M78" s="2" t="s">
        <v>662</v>
      </c>
    </row>
    <row r="79">
      <c r="A79" s="3">
        <v>1.0</v>
      </c>
      <c r="B79" s="3">
        <v>24.0</v>
      </c>
      <c r="C79" s="2" t="s">
        <v>316</v>
      </c>
      <c r="D79" s="6" t="s">
        <v>919</v>
      </c>
      <c r="E79" s="2" t="s">
        <v>741</v>
      </c>
      <c r="F79" s="2">
        <v>1.0</v>
      </c>
      <c r="G79" s="2">
        <v>9.0</v>
      </c>
      <c r="H79" s="2">
        <v>15.0</v>
      </c>
      <c r="I79" s="2">
        <v>21.0</v>
      </c>
      <c r="J79" s="2">
        <v>15.0</v>
      </c>
      <c r="K79" s="2" t="s">
        <v>662</v>
      </c>
      <c r="L79" s="2" t="s">
        <v>662</v>
      </c>
      <c r="M79" s="2" t="s">
        <v>662</v>
      </c>
    </row>
    <row r="80">
      <c r="A80" s="3">
        <v>1.0</v>
      </c>
      <c r="B80" s="3">
        <v>25.0</v>
      </c>
      <c r="C80" s="2" t="s">
        <v>316</v>
      </c>
      <c r="D80" s="1" t="s">
        <v>159</v>
      </c>
      <c r="E80" s="2" t="s">
        <v>842</v>
      </c>
      <c r="F80" s="1" t="s">
        <v>159</v>
      </c>
      <c r="G80" s="1" t="s">
        <v>159</v>
      </c>
      <c r="H80" s="1" t="s">
        <v>159</v>
      </c>
      <c r="I80" s="1" t="s">
        <v>159</v>
      </c>
      <c r="J80" s="2">
        <v>211.0</v>
      </c>
      <c r="K80" s="2" t="s">
        <v>662</v>
      </c>
      <c r="L80" s="2" t="s">
        <v>662</v>
      </c>
      <c r="M80" s="2" t="s">
        <v>662</v>
      </c>
    </row>
    <row r="81">
      <c r="A81" s="3">
        <v>1.0</v>
      </c>
      <c r="B81" s="3">
        <v>26.0</v>
      </c>
      <c r="C81" s="2" t="s">
        <v>316</v>
      </c>
      <c r="D81" s="2" t="s">
        <v>844</v>
      </c>
      <c r="E81" s="2" t="s">
        <v>696</v>
      </c>
      <c r="F81" s="1" t="s">
        <v>159</v>
      </c>
      <c r="G81" s="1" t="s">
        <v>159</v>
      </c>
      <c r="H81" s="1" t="s">
        <v>159</v>
      </c>
      <c r="I81" s="1" t="s">
        <v>159</v>
      </c>
      <c r="J81" s="2" t="s">
        <v>845</v>
      </c>
      <c r="K81" s="2" t="s">
        <v>662</v>
      </c>
      <c r="L81" s="2" t="s">
        <v>662</v>
      </c>
      <c r="M81" s="2" t="s">
        <v>662</v>
      </c>
    </row>
    <row r="82">
      <c r="A82" s="3">
        <v>1.0</v>
      </c>
      <c r="B82" s="3">
        <v>27.0</v>
      </c>
      <c r="C82" s="2" t="s">
        <v>316</v>
      </c>
      <c r="D82" s="1" t="s">
        <v>159</v>
      </c>
      <c r="E82" s="2" t="s">
        <v>847</v>
      </c>
      <c r="F82" s="2" t="s">
        <v>848</v>
      </c>
      <c r="G82" s="2" t="s">
        <v>849</v>
      </c>
      <c r="H82" s="2" t="s">
        <v>850</v>
      </c>
      <c r="I82" s="2" t="s">
        <v>851</v>
      </c>
      <c r="J82" s="2" t="s">
        <v>20</v>
      </c>
      <c r="K82" s="2" t="s">
        <v>662</v>
      </c>
      <c r="L82" s="2" t="s">
        <v>662</v>
      </c>
      <c r="M82" s="2" t="s">
        <v>662</v>
      </c>
    </row>
    <row r="83">
      <c r="A83" s="3">
        <v>2.0</v>
      </c>
      <c r="B83" s="3">
        <v>1.0</v>
      </c>
      <c r="C83" s="2" t="s">
        <v>316</v>
      </c>
      <c r="D83" s="2" t="s">
        <v>749</v>
      </c>
      <c r="E83" s="2" t="s">
        <v>750</v>
      </c>
      <c r="F83" s="2" t="s">
        <v>853</v>
      </c>
      <c r="G83" s="2" t="s">
        <v>854</v>
      </c>
      <c r="H83" s="2" t="s">
        <v>753</v>
      </c>
      <c r="I83" s="2" t="s">
        <v>754</v>
      </c>
      <c r="J83" s="2" t="s">
        <v>37</v>
      </c>
      <c r="K83" s="2" t="s">
        <v>662</v>
      </c>
      <c r="L83" s="2" t="s">
        <v>662</v>
      </c>
      <c r="M83" s="2" t="s">
        <v>662</v>
      </c>
    </row>
    <row r="84">
      <c r="A84" s="3">
        <v>2.0</v>
      </c>
      <c r="B84" s="3">
        <v>2.0</v>
      </c>
      <c r="C84" s="2" t="s">
        <v>316</v>
      </c>
      <c r="D84" s="1" t="s">
        <v>159</v>
      </c>
      <c r="E84" s="2" t="s">
        <v>755</v>
      </c>
      <c r="F84" s="2">
        <v>3.0</v>
      </c>
      <c r="G84" s="2">
        <v>7.0</v>
      </c>
      <c r="H84" s="2">
        <v>32.0</v>
      </c>
      <c r="I84" s="2">
        <v>40.0</v>
      </c>
      <c r="J84" s="2" t="s">
        <v>41</v>
      </c>
      <c r="K84" s="2" t="s">
        <v>662</v>
      </c>
      <c r="L84" s="2" t="s">
        <v>662</v>
      </c>
      <c r="M84" s="2" t="s">
        <v>662</v>
      </c>
    </row>
    <row r="85">
      <c r="A85" s="3">
        <v>2.0</v>
      </c>
      <c r="B85" s="3">
        <v>3.0</v>
      </c>
      <c r="C85" s="2" t="s">
        <v>316</v>
      </c>
      <c r="D85" s="2" t="s">
        <v>858</v>
      </c>
      <c r="E85" s="2" t="s">
        <v>758</v>
      </c>
      <c r="F85" s="2">
        <v>39.17</v>
      </c>
      <c r="G85" s="2">
        <v>48.0</v>
      </c>
      <c r="H85" s="2">
        <v>52.22</v>
      </c>
      <c r="I85" s="2">
        <v>72.33</v>
      </c>
      <c r="J85" s="2">
        <v>39.17</v>
      </c>
      <c r="K85" s="2" t="s">
        <v>662</v>
      </c>
      <c r="L85" s="2" t="s">
        <v>662</v>
      </c>
      <c r="M85" s="2" t="s">
        <v>662</v>
      </c>
    </row>
    <row r="86">
      <c r="A86" s="3">
        <v>2.0</v>
      </c>
      <c r="B86" s="3">
        <v>4.0</v>
      </c>
      <c r="C86" s="2" t="s">
        <v>316</v>
      </c>
      <c r="D86" s="6" t="s">
        <v>929</v>
      </c>
      <c r="E86" s="2" t="s">
        <v>696</v>
      </c>
      <c r="F86" s="1" t="s">
        <v>159</v>
      </c>
      <c r="G86" s="1" t="s">
        <v>159</v>
      </c>
      <c r="H86" s="1" t="s">
        <v>159</v>
      </c>
      <c r="I86" s="1" t="s">
        <v>159</v>
      </c>
      <c r="J86" s="2" t="s">
        <v>26</v>
      </c>
      <c r="K86" s="2" t="s">
        <v>662</v>
      </c>
      <c r="L86" s="2" t="s">
        <v>662</v>
      </c>
      <c r="M86" s="2" t="s">
        <v>662</v>
      </c>
    </row>
    <row r="87">
      <c r="A87" s="3">
        <v>2.0</v>
      </c>
      <c r="B87" s="3">
        <v>5.0</v>
      </c>
      <c r="C87" s="2" t="s">
        <v>316</v>
      </c>
      <c r="D87" s="2" t="s">
        <v>696</v>
      </c>
      <c r="E87" s="2" t="s">
        <v>863</v>
      </c>
      <c r="F87" s="1" t="s">
        <v>159</v>
      </c>
      <c r="G87" s="1" t="s">
        <v>159</v>
      </c>
      <c r="H87" s="1" t="s">
        <v>159</v>
      </c>
      <c r="I87" s="1" t="s">
        <v>159</v>
      </c>
      <c r="J87" s="2" t="s">
        <v>41</v>
      </c>
      <c r="K87" s="2" t="s">
        <v>662</v>
      </c>
      <c r="L87" s="2" t="s">
        <v>662</v>
      </c>
      <c r="M87" s="2" t="s">
        <v>662</v>
      </c>
    </row>
    <row r="88">
      <c r="A88" s="3">
        <v>2.0</v>
      </c>
      <c r="B88" s="3">
        <v>6.0</v>
      </c>
      <c r="C88" s="2" t="s">
        <v>316</v>
      </c>
      <c r="D88" s="1" t="s">
        <v>159</v>
      </c>
      <c r="E88" s="2" t="s">
        <v>865</v>
      </c>
      <c r="F88" s="1" t="s">
        <v>159</v>
      </c>
      <c r="G88" s="1" t="s">
        <v>159</v>
      </c>
      <c r="H88" s="1" t="s">
        <v>159</v>
      </c>
      <c r="I88" s="1" t="s">
        <v>159</v>
      </c>
      <c r="J88" s="2">
        <v>26.0</v>
      </c>
      <c r="K88" s="2" t="s">
        <v>662</v>
      </c>
      <c r="L88" s="2" t="s">
        <v>662</v>
      </c>
      <c r="M88" s="2" t="s">
        <v>662</v>
      </c>
    </row>
    <row r="89">
      <c r="A89" s="3">
        <v>2.0</v>
      </c>
      <c r="B89" s="3">
        <v>7.0</v>
      </c>
      <c r="C89" s="2" t="s">
        <v>316</v>
      </c>
      <c r="D89" s="6" t="s">
        <v>931</v>
      </c>
      <c r="E89" s="2" t="s">
        <v>762</v>
      </c>
      <c r="F89" s="2">
        <v>34.0</v>
      </c>
      <c r="G89" s="2">
        <v>16.0</v>
      </c>
      <c r="H89" s="2">
        <v>15.0</v>
      </c>
      <c r="I89" s="2">
        <v>8.0</v>
      </c>
      <c r="J89" s="2" t="s">
        <v>26</v>
      </c>
      <c r="K89" s="2" t="s">
        <v>662</v>
      </c>
      <c r="L89" s="2" t="s">
        <v>662</v>
      </c>
      <c r="M89" s="2" t="s">
        <v>662</v>
      </c>
    </row>
    <row r="90">
      <c r="A90" s="3">
        <v>2.0</v>
      </c>
      <c r="B90" s="3">
        <v>8.0</v>
      </c>
      <c r="C90" s="2" t="s">
        <v>316</v>
      </c>
      <c r="D90" s="2" t="s">
        <v>869</v>
      </c>
      <c r="E90" s="2" t="s">
        <v>871</v>
      </c>
      <c r="F90" s="2">
        <v>9.0</v>
      </c>
      <c r="G90" s="2">
        <v>7.0</v>
      </c>
      <c r="H90" s="2">
        <v>5.0</v>
      </c>
      <c r="I90" s="2">
        <v>1.0</v>
      </c>
      <c r="J90" s="2" t="s">
        <v>41</v>
      </c>
      <c r="K90" s="2" t="s">
        <v>662</v>
      </c>
      <c r="L90" s="2" t="s">
        <v>662</v>
      </c>
      <c r="M90" s="2" t="s">
        <v>662</v>
      </c>
    </row>
    <row r="91">
      <c r="A91" s="3">
        <v>2.0</v>
      </c>
      <c r="B91" s="3">
        <v>9.0</v>
      </c>
      <c r="C91" s="2" t="s">
        <v>316</v>
      </c>
      <c r="D91" s="6" t="s">
        <v>934</v>
      </c>
      <c r="E91" s="2" t="s">
        <v>875</v>
      </c>
      <c r="F91" s="8">
        <v>46227.0</v>
      </c>
      <c r="G91" s="2" t="s">
        <v>765</v>
      </c>
      <c r="H91" s="2">
        <v>17.0</v>
      </c>
      <c r="I91" s="2">
        <v>31.0</v>
      </c>
      <c r="J91" s="2" t="s">
        <v>41</v>
      </c>
      <c r="K91" s="2" t="s">
        <v>662</v>
      </c>
      <c r="L91" s="2" t="s">
        <v>662</v>
      </c>
      <c r="M91" s="2" t="s">
        <v>662</v>
      </c>
    </row>
    <row r="92">
      <c r="A92" s="3">
        <v>2.0</v>
      </c>
      <c r="B92" s="3">
        <v>10.0</v>
      </c>
      <c r="C92" s="2" t="s">
        <v>316</v>
      </c>
      <c r="D92" s="2" t="s">
        <v>766</v>
      </c>
      <c r="E92" s="2" t="s">
        <v>877</v>
      </c>
      <c r="F92" s="1" t="s">
        <v>159</v>
      </c>
      <c r="G92" s="1" t="s">
        <v>159</v>
      </c>
      <c r="H92" s="1" t="s">
        <v>159</v>
      </c>
      <c r="I92" s="1" t="s">
        <v>159</v>
      </c>
      <c r="J92" s="2">
        <v>11.0</v>
      </c>
      <c r="K92" s="2" t="s">
        <v>662</v>
      </c>
      <c r="L92" s="2" t="s">
        <v>662</v>
      </c>
      <c r="M92" s="2" t="s">
        <v>662</v>
      </c>
    </row>
    <row r="93">
      <c r="A93" s="3">
        <v>2.0</v>
      </c>
      <c r="B93" s="3">
        <v>11.0</v>
      </c>
      <c r="C93" s="2" t="s">
        <v>316</v>
      </c>
      <c r="D93" s="2" t="s">
        <v>879</v>
      </c>
      <c r="E93" s="2" t="s">
        <v>880</v>
      </c>
      <c r="F93" s="2" t="s">
        <v>881</v>
      </c>
      <c r="G93" s="2" t="s">
        <v>882</v>
      </c>
      <c r="H93" s="2" t="s">
        <v>885</v>
      </c>
      <c r="I93" s="2" t="s">
        <v>886</v>
      </c>
      <c r="J93" s="2" t="s">
        <v>26</v>
      </c>
      <c r="K93" s="2" t="s">
        <v>662</v>
      </c>
      <c r="L93" s="2" t="s">
        <v>662</v>
      </c>
      <c r="M93" s="2" t="s">
        <v>662</v>
      </c>
    </row>
    <row r="94">
      <c r="A94" s="3">
        <v>2.0</v>
      </c>
      <c r="B94" s="3">
        <v>12.0</v>
      </c>
      <c r="C94" s="2" t="s">
        <v>316</v>
      </c>
      <c r="D94" s="1" t="s">
        <v>159</v>
      </c>
      <c r="E94" s="2" t="s">
        <v>887</v>
      </c>
      <c r="F94" s="1" t="s">
        <v>159</v>
      </c>
      <c r="G94" s="1" t="s">
        <v>159</v>
      </c>
      <c r="H94" s="1" t="s">
        <v>159</v>
      </c>
      <c r="I94" s="1" t="s">
        <v>159</v>
      </c>
      <c r="J94" s="6" t="s">
        <v>937</v>
      </c>
      <c r="K94" s="2" t="s">
        <v>662</v>
      </c>
      <c r="L94" s="2" t="s">
        <v>662</v>
      </c>
      <c r="M94" s="2" t="s">
        <v>662</v>
      </c>
    </row>
    <row r="95">
      <c r="A95" s="3">
        <v>2.0</v>
      </c>
      <c r="B95" s="3">
        <v>13.0</v>
      </c>
      <c r="C95" s="2" t="s">
        <v>316</v>
      </c>
      <c r="D95" s="1" t="s">
        <v>159</v>
      </c>
      <c r="E95" s="2" t="s">
        <v>777</v>
      </c>
      <c r="F95" s="2" t="s">
        <v>890</v>
      </c>
      <c r="G95" s="2" t="s">
        <v>891</v>
      </c>
      <c r="H95" s="2" t="s">
        <v>892</v>
      </c>
      <c r="I95" s="2" t="s">
        <v>893</v>
      </c>
      <c r="J95" s="2" t="s">
        <v>20</v>
      </c>
      <c r="K95" s="2" t="s">
        <v>662</v>
      </c>
      <c r="L95" s="2" t="s">
        <v>662</v>
      </c>
      <c r="M95" s="2" t="s">
        <v>662</v>
      </c>
    </row>
    <row r="96">
      <c r="A96" s="3">
        <v>2.0</v>
      </c>
      <c r="B96" s="3">
        <v>14.0</v>
      </c>
      <c r="C96" s="2" t="s">
        <v>316</v>
      </c>
      <c r="D96" s="1" t="s">
        <v>159</v>
      </c>
      <c r="E96" s="2" t="s">
        <v>783</v>
      </c>
      <c r="F96" s="2">
        <v>5.0</v>
      </c>
      <c r="G96" s="2">
        <v>4.0</v>
      </c>
      <c r="H96" s="2">
        <v>0.0</v>
      </c>
      <c r="I96" s="2">
        <v>-4.0</v>
      </c>
      <c r="J96" s="2" t="s">
        <v>41</v>
      </c>
      <c r="K96" s="2" t="s">
        <v>662</v>
      </c>
      <c r="L96" s="2" t="s">
        <v>662</v>
      </c>
      <c r="M96" s="2" t="s">
        <v>662</v>
      </c>
    </row>
    <row r="97">
      <c r="A97" s="3">
        <v>2.0</v>
      </c>
      <c r="B97" s="3">
        <v>15.0</v>
      </c>
      <c r="C97" s="2" t="s">
        <v>316</v>
      </c>
      <c r="D97" s="2" t="s">
        <v>895</v>
      </c>
      <c r="E97" s="2" t="s">
        <v>896</v>
      </c>
      <c r="F97" s="2">
        <v>-30.0</v>
      </c>
      <c r="G97" s="2">
        <v>-29.0</v>
      </c>
      <c r="H97" s="2">
        <v>-20.0</v>
      </c>
      <c r="I97" s="2">
        <v>-19.0</v>
      </c>
      <c r="J97" s="2" t="s">
        <v>41</v>
      </c>
      <c r="K97" s="2" t="s">
        <v>662</v>
      </c>
      <c r="L97" s="2" t="s">
        <v>662</v>
      </c>
      <c r="M97" s="2" t="s">
        <v>662</v>
      </c>
    </row>
    <row r="98">
      <c r="A98" s="3">
        <v>2.0</v>
      </c>
      <c r="B98" s="3">
        <v>16.0</v>
      </c>
      <c r="C98" s="2" t="s">
        <v>316</v>
      </c>
      <c r="D98" s="1" t="s">
        <v>159</v>
      </c>
      <c r="E98" s="6" t="s">
        <v>938</v>
      </c>
      <c r="F98" s="1" t="s">
        <v>159</v>
      </c>
      <c r="G98" s="1" t="s">
        <v>159</v>
      </c>
      <c r="H98" s="1" t="s">
        <v>159</v>
      </c>
      <c r="I98" s="1" t="s">
        <v>159</v>
      </c>
      <c r="J98" s="2">
        <v>0.0</v>
      </c>
      <c r="K98" s="2" t="s">
        <v>662</v>
      </c>
      <c r="L98" s="2" t="s">
        <v>662</v>
      </c>
      <c r="M98" s="2" t="s">
        <v>662</v>
      </c>
    </row>
    <row r="99">
      <c r="A99" s="3">
        <v>2.0</v>
      </c>
      <c r="B99" s="3">
        <v>17.0</v>
      </c>
      <c r="C99" s="2" t="s">
        <v>316</v>
      </c>
      <c r="D99" s="2" t="s">
        <v>899</v>
      </c>
      <c r="E99" s="2" t="s">
        <v>900</v>
      </c>
      <c r="F99" s="2" t="s">
        <v>901</v>
      </c>
      <c r="G99" s="2" t="s">
        <v>902</v>
      </c>
      <c r="H99" s="2" t="s">
        <v>903</v>
      </c>
      <c r="I99" s="2" t="s">
        <v>904</v>
      </c>
      <c r="J99" s="2" t="s">
        <v>37</v>
      </c>
      <c r="K99" s="2" t="s">
        <v>662</v>
      </c>
      <c r="L99" s="2" t="s">
        <v>662</v>
      </c>
      <c r="M99" s="2" t="s">
        <v>662</v>
      </c>
    </row>
    <row r="100">
      <c r="A100" s="3">
        <v>2.0</v>
      </c>
      <c r="B100" s="3">
        <v>18.0</v>
      </c>
      <c r="C100" s="2" t="s">
        <v>316</v>
      </c>
      <c r="D100" s="2" t="s">
        <v>696</v>
      </c>
      <c r="E100" s="2" t="s">
        <v>793</v>
      </c>
      <c r="F100" s="2" t="s">
        <v>905</v>
      </c>
      <c r="G100" s="2" t="s">
        <v>906</v>
      </c>
      <c r="H100" s="2" t="s">
        <v>907</v>
      </c>
      <c r="I100" s="2" t="s">
        <v>797</v>
      </c>
      <c r="J100" s="2" t="s">
        <v>37</v>
      </c>
      <c r="K100" s="2" t="s">
        <v>662</v>
      </c>
      <c r="L100" s="2" t="s">
        <v>662</v>
      </c>
      <c r="M100" s="2" t="s">
        <v>662</v>
      </c>
    </row>
    <row r="101">
      <c r="A101" s="3">
        <v>2.0</v>
      </c>
      <c r="B101" s="3">
        <v>19.0</v>
      </c>
      <c r="C101" s="2" t="s">
        <v>316</v>
      </c>
      <c r="D101" s="2" t="s">
        <v>799</v>
      </c>
      <c r="E101" s="2" t="s">
        <v>800</v>
      </c>
      <c r="F101" s="2" t="s">
        <v>801</v>
      </c>
      <c r="G101" s="2" t="s">
        <v>802</v>
      </c>
      <c r="H101" s="2" t="s">
        <v>803</v>
      </c>
      <c r="I101" s="2" t="s">
        <v>804</v>
      </c>
      <c r="J101" s="2" t="s">
        <v>26</v>
      </c>
      <c r="K101" s="2" t="s">
        <v>662</v>
      </c>
      <c r="L101" s="2" t="s">
        <v>662</v>
      </c>
      <c r="M101" s="2" t="s">
        <v>662</v>
      </c>
    </row>
    <row r="102">
      <c r="A102" s="3">
        <v>2.0</v>
      </c>
      <c r="B102" s="3">
        <v>20.0</v>
      </c>
      <c r="C102" s="2" t="s">
        <v>316</v>
      </c>
      <c r="D102" s="2" t="s">
        <v>908</v>
      </c>
      <c r="E102" s="2" t="s">
        <v>910</v>
      </c>
      <c r="F102" s="2" t="s">
        <v>911</v>
      </c>
      <c r="G102" s="2" t="s">
        <v>912</v>
      </c>
      <c r="H102" s="2" t="s">
        <v>913</v>
      </c>
      <c r="I102" s="2" t="s">
        <v>914</v>
      </c>
      <c r="J102" s="2" t="s">
        <v>20</v>
      </c>
      <c r="K102" s="2" t="s">
        <v>662</v>
      </c>
      <c r="L102" s="2" t="s">
        <v>662</v>
      </c>
      <c r="M102" s="2" t="s">
        <v>662</v>
      </c>
    </row>
    <row r="103">
      <c r="A103" s="3">
        <v>2.0</v>
      </c>
      <c r="B103" s="3">
        <v>21.0</v>
      </c>
      <c r="C103" s="2" t="s">
        <v>316</v>
      </c>
      <c r="D103" s="6" t="s">
        <v>948</v>
      </c>
      <c r="E103" s="2" t="s">
        <v>916</v>
      </c>
      <c r="F103" s="1" t="s">
        <v>159</v>
      </c>
      <c r="G103" s="1" t="s">
        <v>159</v>
      </c>
      <c r="H103" s="1" t="s">
        <v>159</v>
      </c>
      <c r="I103" s="1" t="s">
        <v>159</v>
      </c>
      <c r="J103" s="2">
        <v>8.0</v>
      </c>
      <c r="K103" s="2" t="s">
        <v>662</v>
      </c>
      <c r="L103" s="2" t="s">
        <v>662</v>
      </c>
      <c r="M103" s="2" t="s">
        <v>662</v>
      </c>
    </row>
    <row r="104">
      <c r="A104" s="3">
        <v>2.0</v>
      </c>
      <c r="B104" s="3">
        <v>22.0</v>
      </c>
      <c r="C104" s="2" t="s">
        <v>316</v>
      </c>
      <c r="D104" s="1" t="s">
        <v>159</v>
      </c>
      <c r="E104" s="2" t="s">
        <v>917</v>
      </c>
      <c r="F104" s="2">
        <v>-23.0</v>
      </c>
      <c r="G104" s="2">
        <v>13.0</v>
      </c>
      <c r="H104" s="1" t="s">
        <v>159</v>
      </c>
      <c r="I104" s="1" t="s">
        <v>159</v>
      </c>
      <c r="J104" s="2" t="s">
        <v>20</v>
      </c>
      <c r="K104" s="2" t="s">
        <v>662</v>
      </c>
      <c r="L104" s="2" t="s">
        <v>662</v>
      </c>
      <c r="M104" s="2" t="s">
        <v>662</v>
      </c>
    </row>
    <row r="105">
      <c r="A105" s="3">
        <v>2.0</v>
      </c>
      <c r="B105" s="3">
        <v>23.0</v>
      </c>
      <c r="C105" s="2" t="s">
        <v>316</v>
      </c>
      <c r="D105" s="6" t="s">
        <v>958</v>
      </c>
      <c r="E105" s="2" t="s">
        <v>921</v>
      </c>
      <c r="F105" s="11">
        <v>1375.0</v>
      </c>
      <c r="G105" s="2">
        <v>412.5</v>
      </c>
      <c r="H105" s="2">
        <v>275.0</v>
      </c>
      <c r="I105" s="2">
        <v>313.0</v>
      </c>
      <c r="J105" s="2" t="s">
        <v>20</v>
      </c>
      <c r="K105" s="2" t="s">
        <v>662</v>
      </c>
      <c r="L105" s="2" t="s">
        <v>662</v>
      </c>
      <c r="M105" s="2" t="s">
        <v>662</v>
      </c>
    </row>
    <row r="106">
      <c r="A106" s="3">
        <v>2.0</v>
      </c>
      <c r="B106" s="3">
        <v>24.0</v>
      </c>
      <c r="C106" s="2" t="s">
        <v>316</v>
      </c>
      <c r="D106" s="1" t="s">
        <v>159</v>
      </c>
      <c r="E106" s="2" t="s">
        <v>922</v>
      </c>
      <c r="F106" s="2" t="s">
        <v>923</v>
      </c>
      <c r="G106" s="2" t="s">
        <v>924</v>
      </c>
      <c r="H106" s="2" t="s">
        <v>925</v>
      </c>
      <c r="I106" s="2" t="s">
        <v>926</v>
      </c>
      <c r="J106" s="2" t="s">
        <v>41</v>
      </c>
      <c r="K106" s="2" t="s">
        <v>662</v>
      </c>
      <c r="L106" s="2" t="s">
        <v>662</v>
      </c>
      <c r="M106" s="2" t="s">
        <v>662</v>
      </c>
    </row>
    <row r="107">
      <c r="A107" s="3">
        <v>2.0</v>
      </c>
      <c r="B107" s="3">
        <v>25.0</v>
      </c>
      <c r="C107" s="2" t="s">
        <v>316</v>
      </c>
      <c r="D107" s="1" t="s">
        <v>159</v>
      </c>
      <c r="E107" s="2">
        <v>1.0</v>
      </c>
      <c r="F107" s="1" t="s">
        <v>159</v>
      </c>
      <c r="G107" s="1" t="s">
        <v>159</v>
      </c>
      <c r="H107" s="1" t="s">
        <v>159</v>
      </c>
      <c r="I107" s="2" t="s">
        <v>829</v>
      </c>
      <c r="J107" s="2" t="s">
        <v>26</v>
      </c>
      <c r="K107" s="2" t="s">
        <v>662</v>
      </c>
      <c r="L107" s="2" t="s">
        <v>662</v>
      </c>
      <c r="M107" s="2" t="s">
        <v>662</v>
      </c>
    </row>
    <row r="108">
      <c r="A108" s="3">
        <v>2.0</v>
      </c>
      <c r="B108" s="3">
        <v>26.0</v>
      </c>
      <c r="C108" s="2" t="s">
        <v>316</v>
      </c>
      <c r="D108" s="1" t="s">
        <v>159</v>
      </c>
      <c r="E108" s="2">
        <v>2.0</v>
      </c>
      <c r="F108" s="1" t="s">
        <v>159</v>
      </c>
      <c r="G108" s="1" t="s">
        <v>159</v>
      </c>
      <c r="H108" s="1" t="s">
        <v>159</v>
      </c>
      <c r="I108" s="2" t="s">
        <v>829</v>
      </c>
      <c r="J108" s="2" t="s">
        <v>41</v>
      </c>
      <c r="K108" s="2" t="s">
        <v>662</v>
      </c>
      <c r="L108" s="2" t="s">
        <v>662</v>
      </c>
      <c r="M108" s="2" t="s">
        <v>662</v>
      </c>
    </row>
    <row r="109">
      <c r="A109" s="3">
        <v>2.0</v>
      </c>
      <c r="B109" s="3">
        <v>27.0</v>
      </c>
      <c r="C109" s="2" t="s">
        <v>316</v>
      </c>
      <c r="D109" s="1" t="s">
        <v>159</v>
      </c>
      <c r="E109" s="2">
        <v>3.0</v>
      </c>
      <c r="F109" s="1" t="s">
        <v>159</v>
      </c>
      <c r="G109" s="1" t="s">
        <v>159</v>
      </c>
      <c r="H109" s="1" t="s">
        <v>159</v>
      </c>
      <c r="I109" s="2" t="s">
        <v>829</v>
      </c>
      <c r="J109" s="2" t="s">
        <v>20</v>
      </c>
      <c r="K109" s="2" t="s">
        <v>662</v>
      </c>
      <c r="L109" s="2" t="s">
        <v>662</v>
      </c>
      <c r="M109" s="2" t="s">
        <v>662</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c r="C1" s="2" t="s">
        <v>2</v>
      </c>
      <c r="D1" s="2" t="s">
        <v>3</v>
      </c>
      <c r="E1" s="2" t="s">
        <v>4</v>
      </c>
      <c r="F1" s="2" t="s">
        <v>5</v>
      </c>
      <c r="G1" s="2" t="s">
        <v>6</v>
      </c>
      <c r="H1" s="2" t="s">
        <v>7</v>
      </c>
      <c r="I1" s="2" t="s">
        <v>8</v>
      </c>
      <c r="J1" s="2" t="s">
        <v>9</v>
      </c>
      <c r="K1" s="2" t="s">
        <v>10</v>
      </c>
      <c r="L1" s="2" t="s">
        <v>11</v>
      </c>
      <c r="M1" s="2" t="s">
        <v>12</v>
      </c>
    </row>
    <row r="2">
      <c r="A2" s="3">
        <v>1.0</v>
      </c>
      <c r="B2" s="3">
        <v>1.0</v>
      </c>
      <c r="C2" s="2" t="s">
        <v>13</v>
      </c>
      <c r="D2" s="2" t="s">
        <v>388</v>
      </c>
      <c r="E2" s="2" t="s">
        <v>15</v>
      </c>
      <c r="F2" s="2" t="s">
        <v>220</v>
      </c>
      <c r="G2" s="2" t="s">
        <v>221</v>
      </c>
      <c r="H2" s="2" t="s">
        <v>222</v>
      </c>
      <c r="I2" s="2" t="s">
        <v>223</v>
      </c>
      <c r="J2" s="2" t="s">
        <v>20</v>
      </c>
      <c r="K2" s="2" t="s">
        <v>33</v>
      </c>
      <c r="L2" s="2" t="s">
        <v>22</v>
      </c>
      <c r="M2" s="2" t="s">
        <v>23</v>
      </c>
    </row>
    <row r="3">
      <c r="A3" s="3">
        <v>1.0</v>
      </c>
      <c r="B3" s="3">
        <v>2.0</v>
      </c>
      <c r="C3" s="2" t="s">
        <v>13</v>
      </c>
      <c r="D3" s="2" t="s">
        <v>400</v>
      </c>
      <c r="E3" s="2" t="s">
        <v>228</v>
      </c>
      <c r="F3" s="2" t="s">
        <v>230</v>
      </c>
      <c r="G3" s="2" t="s">
        <v>231</v>
      </c>
      <c r="H3" s="2" t="s">
        <v>233</v>
      </c>
      <c r="I3" s="2" t="s">
        <v>234</v>
      </c>
      <c r="J3" s="2" t="s">
        <v>41</v>
      </c>
      <c r="K3" s="2" t="s">
        <v>81</v>
      </c>
      <c r="L3" s="2" t="s">
        <v>22</v>
      </c>
      <c r="M3" s="2" t="s">
        <v>23</v>
      </c>
    </row>
    <row r="4">
      <c r="A4" s="3">
        <v>1.0</v>
      </c>
      <c r="B4" s="3">
        <v>3.0</v>
      </c>
      <c r="C4" s="2" t="s">
        <v>13</v>
      </c>
      <c r="D4" s="2" t="s">
        <v>236</v>
      </c>
      <c r="E4" s="2" t="s">
        <v>15</v>
      </c>
      <c r="F4" s="2" t="s">
        <v>237</v>
      </c>
      <c r="G4" s="2" t="s">
        <v>239</v>
      </c>
      <c r="H4" s="2" t="s">
        <v>240</v>
      </c>
      <c r="I4" s="2" t="s">
        <v>242</v>
      </c>
      <c r="J4" s="2" t="s">
        <v>20</v>
      </c>
      <c r="K4" s="2" t="s">
        <v>33</v>
      </c>
      <c r="L4" s="2" t="s">
        <v>22</v>
      </c>
      <c r="M4" s="2" t="s">
        <v>23</v>
      </c>
    </row>
    <row r="5">
      <c r="A5" s="3">
        <v>1.0</v>
      </c>
      <c r="B5" s="3">
        <v>4.0</v>
      </c>
      <c r="C5" s="2" t="s">
        <v>13</v>
      </c>
      <c r="D5" s="2" t="s">
        <v>421</v>
      </c>
      <c r="E5" s="2" t="s">
        <v>15</v>
      </c>
      <c r="F5" s="2" t="s">
        <v>248</v>
      </c>
      <c r="G5" s="2" t="s">
        <v>249</v>
      </c>
      <c r="H5" s="2" t="s">
        <v>250</v>
      </c>
      <c r="I5" s="2" t="s">
        <v>251</v>
      </c>
      <c r="J5" s="2" t="s">
        <v>251</v>
      </c>
      <c r="K5" s="2" t="s">
        <v>21</v>
      </c>
      <c r="L5" s="2" t="s">
        <v>22</v>
      </c>
      <c r="M5" s="2" t="s">
        <v>43</v>
      </c>
    </row>
    <row r="6">
      <c r="A6" s="3">
        <v>1.0</v>
      </c>
      <c r="B6" s="3">
        <v>5.0</v>
      </c>
      <c r="C6" s="2" t="s">
        <v>13</v>
      </c>
      <c r="D6" s="4" t="s">
        <v>738</v>
      </c>
      <c r="E6" s="2" t="s">
        <v>259</v>
      </c>
      <c r="F6" s="2" t="s">
        <v>260</v>
      </c>
      <c r="G6" s="2" t="s">
        <v>261</v>
      </c>
      <c r="H6" s="2" t="s">
        <v>262</v>
      </c>
      <c r="I6" s="2" t="s">
        <v>263</v>
      </c>
      <c r="J6" s="2" t="s">
        <v>262</v>
      </c>
      <c r="K6" s="2" t="s">
        <v>81</v>
      </c>
      <c r="L6" s="2" t="s">
        <v>22</v>
      </c>
      <c r="M6" s="2" t="s">
        <v>23</v>
      </c>
    </row>
    <row r="7">
      <c r="A7" s="3">
        <v>1.0</v>
      </c>
      <c r="B7" s="3">
        <v>6.0</v>
      </c>
      <c r="C7" s="2" t="s">
        <v>13</v>
      </c>
      <c r="D7" s="2" t="s">
        <v>264</v>
      </c>
      <c r="E7" s="2" t="s">
        <v>75</v>
      </c>
      <c r="F7" s="2" t="s">
        <v>267</v>
      </c>
      <c r="G7" s="2" t="s">
        <v>269</v>
      </c>
      <c r="H7" s="2" t="s">
        <v>270</v>
      </c>
      <c r="I7" s="2" t="s">
        <v>272</v>
      </c>
      <c r="J7" s="2" t="s">
        <v>269</v>
      </c>
      <c r="K7" s="2" t="s">
        <v>42</v>
      </c>
      <c r="L7" s="2" t="s">
        <v>82</v>
      </c>
      <c r="M7" s="2" t="s">
        <v>23</v>
      </c>
    </row>
    <row r="8">
      <c r="A8" s="3">
        <v>1.0</v>
      </c>
      <c r="B8" s="3">
        <v>7.0</v>
      </c>
      <c r="C8" s="2" t="s">
        <v>13</v>
      </c>
      <c r="D8" s="2" t="s">
        <v>275</v>
      </c>
      <c r="E8" s="2" t="s">
        <v>75</v>
      </c>
      <c r="F8" s="2" t="s">
        <v>462</v>
      </c>
      <c r="G8" s="2" t="s">
        <v>464</v>
      </c>
      <c r="H8" s="2" t="s">
        <v>467</v>
      </c>
      <c r="I8" s="2" t="s">
        <v>470</v>
      </c>
      <c r="J8" s="2" t="s">
        <v>464</v>
      </c>
      <c r="K8" s="2" t="s">
        <v>42</v>
      </c>
      <c r="L8" s="2" t="s">
        <v>82</v>
      </c>
      <c r="M8" s="2" t="s">
        <v>23</v>
      </c>
    </row>
    <row r="9">
      <c r="A9" s="3">
        <v>1.0</v>
      </c>
      <c r="B9" s="3">
        <v>8.0</v>
      </c>
      <c r="C9" s="2" t="s">
        <v>13</v>
      </c>
      <c r="D9" s="2" t="s">
        <v>281</v>
      </c>
      <c r="E9" s="2" t="s">
        <v>86</v>
      </c>
      <c r="F9" s="2" t="s">
        <v>284</v>
      </c>
      <c r="G9" s="2" t="s">
        <v>286</v>
      </c>
      <c r="H9" s="2" t="s">
        <v>287</v>
      </c>
      <c r="I9" s="2" t="s">
        <v>288</v>
      </c>
      <c r="J9" s="2" t="s">
        <v>26</v>
      </c>
      <c r="K9" s="2" t="s">
        <v>33</v>
      </c>
      <c r="L9" s="2" t="s">
        <v>82</v>
      </c>
      <c r="M9" s="2" t="s">
        <v>92</v>
      </c>
    </row>
    <row r="10">
      <c r="A10" s="3">
        <v>1.0</v>
      </c>
      <c r="B10" s="3">
        <v>9.0</v>
      </c>
      <c r="C10" s="2" t="s">
        <v>13</v>
      </c>
      <c r="D10" s="2" t="s">
        <v>289</v>
      </c>
      <c r="E10" s="2" t="s">
        <v>290</v>
      </c>
      <c r="F10" s="2" t="s">
        <v>292</v>
      </c>
      <c r="G10" s="2" t="s">
        <v>293</v>
      </c>
      <c r="H10" s="2" t="s">
        <v>294</v>
      </c>
      <c r="I10" s="2" t="s">
        <v>296</v>
      </c>
      <c r="J10" s="2" t="s">
        <v>41</v>
      </c>
      <c r="K10" s="2" t="s">
        <v>81</v>
      </c>
      <c r="L10" s="2" t="s">
        <v>112</v>
      </c>
      <c r="M10" s="2" t="s">
        <v>23</v>
      </c>
    </row>
    <row r="11">
      <c r="A11" s="3">
        <v>1.0</v>
      </c>
      <c r="B11" s="3">
        <v>10.0</v>
      </c>
      <c r="C11" s="2" t="s">
        <v>13</v>
      </c>
      <c r="D11" s="2" t="s">
        <v>493</v>
      </c>
      <c r="E11" s="2" t="s">
        <v>301</v>
      </c>
      <c r="F11" s="2" t="s">
        <v>302</v>
      </c>
      <c r="G11" s="2" t="s">
        <v>303</v>
      </c>
      <c r="H11" s="2" t="s">
        <v>304</v>
      </c>
      <c r="I11" s="2" t="s">
        <v>305</v>
      </c>
      <c r="J11" s="2" t="s">
        <v>41</v>
      </c>
      <c r="K11" s="2" t="s">
        <v>33</v>
      </c>
      <c r="L11" s="2" t="s">
        <v>136</v>
      </c>
      <c r="M11" s="2" t="s">
        <v>23</v>
      </c>
    </row>
    <row r="12">
      <c r="A12" s="3">
        <v>1.0</v>
      </c>
      <c r="B12" s="3">
        <v>11.0</v>
      </c>
      <c r="C12" s="2" t="s">
        <v>13</v>
      </c>
      <c r="D12" s="2" t="s">
        <v>503</v>
      </c>
      <c r="E12" s="2" t="s">
        <v>308</v>
      </c>
      <c r="F12" s="2" t="s">
        <v>309</v>
      </c>
      <c r="G12" s="2" t="s">
        <v>310</v>
      </c>
      <c r="H12" s="2" t="s">
        <v>311</v>
      </c>
      <c r="I12" s="2" t="s">
        <v>313</v>
      </c>
      <c r="J12" s="2" t="s">
        <v>41</v>
      </c>
      <c r="K12" s="2" t="s">
        <v>81</v>
      </c>
      <c r="L12" s="2" t="s">
        <v>136</v>
      </c>
      <c r="M12" s="2" t="s">
        <v>23</v>
      </c>
    </row>
    <row r="13">
      <c r="A13" s="3">
        <v>1.0</v>
      </c>
      <c r="B13" s="3">
        <v>12.0</v>
      </c>
      <c r="C13" s="2" t="s">
        <v>13</v>
      </c>
      <c r="D13" s="2" t="s">
        <v>524</v>
      </c>
      <c r="E13" s="2" t="s">
        <v>318</v>
      </c>
      <c r="F13" s="2" t="s">
        <v>319</v>
      </c>
      <c r="G13" s="2" t="s">
        <v>320</v>
      </c>
      <c r="H13" s="2" t="s">
        <v>321</v>
      </c>
      <c r="I13" s="2" t="s">
        <v>322</v>
      </c>
      <c r="J13" s="2" t="s">
        <v>37</v>
      </c>
      <c r="K13" s="2" t="s">
        <v>33</v>
      </c>
      <c r="L13" s="2" t="s">
        <v>136</v>
      </c>
      <c r="M13" s="2" t="s">
        <v>23</v>
      </c>
      <c r="N13" s="7" t="str">
        <f>IMAGE("https://lh3.googleusercontent.com/d/1bEJXK4zQ2Aly9ZWTLxXGebyo7bx07Idj")</f>
        <v/>
      </c>
    </row>
    <row r="14">
      <c r="A14" s="3">
        <v>1.0</v>
      </c>
      <c r="B14" s="3">
        <v>13.0</v>
      </c>
      <c r="C14" s="2" t="s">
        <v>13</v>
      </c>
      <c r="D14" s="2" t="s">
        <v>554</v>
      </c>
      <c r="E14" s="2" t="s">
        <v>558</v>
      </c>
      <c r="F14" s="1" t="s">
        <v>159</v>
      </c>
      <c r="G14" s="1" t="s">
        <v>159</v>
      </c>
      <c r="H14" s="1" t="s">
        <v>159</v>
      </c>
      <c r="I14" s="1" t="s">
        <v>159</v>
      </c>
      <c r="J14" s="2" t="s">
        <v>558</v>
      </c>
      <c r="K14" s="2" t="s">
        <v>329</v>
      </c>
      <c r="L14" s="2" t="s">
        <v>329</v>
      </c>
      <c r="M14" s="2" t="s">
        <v>329</v>
      </c>
    </row>
    <row r="15">
      <c r="A15" s="3">
        <v>1.0</v>
      </c>
      <c r="B15" s="3">
        <v>14.0</v>
      </c>
      <c r="C15" s="2" t="s">
        <v>13</v>
      </c>
      <c r="D15" s="2" t="s">
        <v>331</v>
      </c>
      <c r="E15" s="2" t="s">
        <v>333</v>
      </c>
      <c r="F15" s="1" t="s">
        <v>159</v>
      </c>
      <c r="G15" s="1" t="s">
        <v>159</v>
      </c>
      <c r="H15" s="1" t="s">
        <v>159</v>
      </c>
      <c r="I15" s="1" t="s">
        <v>159</v>
      </c>
      <c r="J15" s="2" t="s">
        <v>26</v>
      </c>
      <c r="K15" s="2" t="s">
        <v>42</v>
      </c>
      <c r="L15" s="2" t="s">
        <v>136</v>
      </c>
      <c r="M15" s="2" t="s">
        <v>92</v>
      </c>
    </row>
    <row r="16">
      <c r="A16" s="3">
        <v>1.0</v>
      </c>
      <c r="B16" s="3">
        <v>15.0</v>
      </c>
      <c r="C16" s="2" t="s">
        <v>13</v>
      </c>
      <c r="D16" s="2" t="s">
        <v>574</v>
      </c>
      <c r="E16" s="2" t="s">
        <v>161</v>
      </c>
      <c r="F16" s="2" t="s">
        <v>338</v>
      </c>
      <c r="G16" s="2" t="s">
        <v>339</v>
      </c>
      <c r="H16" s="2" t="s">
        <v>340</v>
      </c>
      <c r="I16" s="2" t="s">
        <v>342</v>
      </c>
      <c r="J16" s="2" t="s">
        <v>37</v>
      </c>
      <c r="K16" s="2" t="s">
        <v>21</v>
      </c>
      <c r="L16" s="2" t="s">
        <v>166</v>
      </c>
      <c r="M16" s="2" t="s">
        <v>23</v>
      </c>
    </row>
    <row r="17">
      <c r="A17" s="3">
        <v>1.0</v>
      </c>
      <c r="B17" s="3">
        <v>16.0</v>
      </c>
      <c r="C17" s="2" t="s">
        <v>13</v>
      </c>
      <c r="D17" s="2" t="s">
        <v>585</v>
      </c>
      <c r="E17" s="2" t="s">
        <v>161</v>
      </c>
      <c r="F17" s="2" t="s">
        <v>348</v>
      </c>
      <c r="G17" s="2" t="s">
        <v>349</v>
      </c>
      <c r="H17" s="2" t="s">
        <v>350</v>
      </c>
      <c r="I17" s="2" t="s">
        <v>351</v>
      </c>
      <c r="J17" s="2" t="s">
        <v>26</v>
      </c>
      <c r="K17" s="2" t="s">
        <v>33</v>
      </c>
      <c r="L17" s="2" t="s">
        <v>166</v>
      </c>
      <c r="M17" s="2" t="s">
        <v>92</v>
      </c>
    </row>
    <row r="18">
      <c r="A18" s="3">
        <v>1.0</v>
      </c>
      <c r="B18" s="3">
        <v>17.0</v>
      </c>
      <c r="C18" s="2" t="s">
        <v>13</v>
      </c>
      <c r="D18" s="2" t="s">
        <v>354</v>
      </c>
      <c r="E18" s="2" t="s">
        <v>168</v>
      </c>
      <c r="F18" s="2" t="s">
        <v>356</v>
      </c>
      <c r="G18" s="2" t="s">
        <v>358</v>
      </c>
      <c r="H18" s="2" t="s">
        <v>359</v>
      </c>
      <c r="I18" s="2" t="s">
        <v>361</v>
      </c>
      <c r="J18" s="2" t="s">
        <v>26</v>
      </c>
      <c r="K18" s="2" t="s">
        <v>21</v>
      </c>
      <c r="L18" s="2" t="s">
        <v>173</v>
      </c>
      <c r="M18" s="2" t="s">
        <v>92</v>
      </c>
    </row>
    <row r="19">
      <c r="A19" s="3">
        <v>1.0</v>
      </c>
      <c r="B19" s="3">
        <v>18.0</v>
      </c>
      <c r="C19" s="2" t="s">
        <v>13</v>
      </c>
      <c r="D19" s="2" t="s">
        <v>364</v>
      </c>
      <c r="E19" s="2" t="s">
        <v>168</v>
      </c>
      <c r="F19" s="2" t="s">
        <v>365</v>
      </c>
      <c r="G19" s="2" t="s">
        <v>366</v>
      </c>
      <c r="H19" s="2" t="s">
        <v>367</v>
      </c>
      <c r="I19" s="2" t="s">
        <v>369</v>
      </c>
      <c r="J19" s="2" t="s">
        <v>20</v>
      </c>
      <c r="K19" s="2" t="s">
        <v>33</v>
      </c>
      <c r="L19" s="2" t="s">
        <v>184</v>
      </c>
      <c r="M19" s="2" t="s">
        <v>23</v>
      </c>
    </row>
    <row r="20">
      <c r="A20" s="3">
        <v>1.0</v>
      </c>
      <c r="B20" s="3">
        <v>19.0</v>
      </c>
      <c r="C20" s="2" t="s">
        <v>13</v>
      </c>
      <c r="D20" s="2" t="s">
        <v>375</v>
      </c>
      <c r="E20" s="2" t="s">
        <v>168</v>
      </c>
      <c r="F20" s="2" t="s">
        <v>376</v>
      </c>
      <c r="G20" s="2" t="s">
        <v>377</v>
      </c>
      <c r="H20" s="2" t="s">
        <v>616</v>
      </c>
      <c r="I20" s="2" t="s">
        <v>379</v>
      </c>
      <c r="J20" s="2" t="s">
        <v>26</v>
      </c>
      <c r="K20" s="2" t="s">
        <v>21</v>
      </c>
      <c r="L20" s="2" t="s">
        <v>184</v>
      </c>
      <c r="M20" s="2" t="s">
        <v>23</v>
      </c>
    </row>
    <row r="21">
      <c r="A21" s="3">
        <v>1.0</v>
      </c>
      <c r="B21" s="3">
        <v>20.0</v>
      </c>
      <c r="C21" s="2" t="s">
        <v>13</v>
      </c>
      <c r="D21" s="2" t="s">
        <v>382</v>
      </c>
      <c r="E21" s="2" t="s">
        <v>168</v>
      </c>
      <c r="F21" s="2" t="s">
        <v>384</v>
      </c>
      <c r="G21" s="2" t="s">
        <v>386</v>
      </c>
      <c r="H21" s="2" t="s">
        <v>387</v>
      </c>
      <c r="I21" s="2" t="s">
        <v>390</v>
      </c>
      <c r="J21" s="2" t="s">
        <v>41</v>
      </c>
      <c r="K21" s="2" t="s">
        <v>33</v>
      </c>
      <c r="L21" s="2" t="s">
        <v>173</v>
      </c>
      <c r="M21" s="2" t="s">
        <v>23</v>
      </c>
    </row>
    <row r="22">
      <c r="A22" s="3">
        <v>1.0</v>
      </c>
      <c r="B22" s="3">
        <v>21.0</v>
      </c>
      <c r="C22" s="2" t="s">
        <v>13</v>
      </c>
      <c r="D22" s="2" t="s">
        <v>392</v>
      </c>
      <c r="E22" s="2" t="s">
        <v>168</v>
      </c>
      <c r="F22" s="2" t="s">
        <v>393</v>
      </c>
      <c r="G22" s="2" t="s">
        <v>395</v>
      </c>
      <c r="H22" s="2" t="s">
        <v>396</v>
      </c>
      <c r="I22" s="2" t="s">
        <v>398</v>
      </c>
      <c r="J22" s="2" t="s">
        <v>41</v>
      </c>
      <c r="K22" s="2" t="s">
        <v>21</v>
      </c>
      <c r="L22" s="2" t="s">
        <v>173</v>
      </c>
      <c r="M22" s="2" t="s">
        <v>43</v>
      </c>
    </row>
    <row r="23">
      <c r="A23" s="3">
        <v>1.0</v>
      </c>
      <c r="B23" s="3">
        <v>22.0</v>
      </c>
      <c r="C23" s="2" t="s">
        <v>13</v>
      </c>
      <c r="D23" s="2" t="s">
        <v>404</v>
      </c>
      <c r="E23" s="2" t="s">
        <v>168</v>
      </c>
      <c r="F23" s="2" t="s">
        <v>405</v>
      </c>
      <c r="G23" s="2" t="s">
        <v>406</v>
      </c>
      <c r="H23" s="2" t="s">
        <v>407</v>
      </c>
      <c r="I23" s="2" t="s">
        <v>408</v>
      </c>
      <c r="J23" s="2" t="s">
        <v>41</v>
      </c>
      <c r="K23" s="2" t="s">
        <v>21</v>
      </c>
      <c r="L23" s="2" t="s">
        <v>184</v>
      </c>
      <c r="M23" s="2" t="s">
        <v>23</v>
      </c>
    </row>
    <row r="24">
      <c r="A24" s="3">
        <v>1.0</v>
      </c>
      <c r="B24" s="3">
        <v>23.0</v>
      </c>
      <c r="C24" s="2" t="s">
        <v>13</v>
      </c>
      <c r="D24" s="2" t="s">
        <v>414</v>
      </c>
      <c r="E24" s="2" t="s">
        <v>196</v>
      </c>
      <c r="F24" s="2" t="s">
        <v>416</v>
      </c>
      <c r="G24" s="2" t="s">
        <v>417</v>
      </c>
      <c r="H24" s="2" t="s">
        <v>418</v>
      </c>
      <c r="I24" s="2" t="s">
        <v>419</v>
      </c>
      <c r="J24" s="2" t="s">
        <v>41</v>
      </c>
      <c r="K24" s="2" t="s">
        <v>420</v>
      </c>
      <c r="L24" s="2" t="s">
        <v>201</v>
      </c>
      <c r="M24" s="2" t="s">
        <v>43</v>
      </c>
    </row>
    <row r="25">
      <c r="A25" s="3">
        <v>1.0</v>
      </c>
      <c r="B25" s="3">
        <v>24.0</v>
      </c>
      <c r="C25" s="2" t="s">
        <v>13</v>
      </c>
      <c r="D25" s="2" t="s">
        <v>422</v>
      </c>
      <c r="E25" s="2" t="s">
        <v>196</v>
      </c>
      <c r="F25" s="2" t="s">
        <v>423</v>
      </c>
      <c r="G25" s="2" t="s">
        <v>424</v>
      </c>
      <c r="H25" s="2" t="s">
        <v>642</v>
      </c>
      <c r="I25" s="2" t="s">
        <v>643</v>
      </c>
      <c r="J25" s="2" t="s">
        <v>20</v>
      </c>
      <c r="K25" s="2" t="s">
        <v>81</v>
      </c>
      <c r="L25" s="2" t="s">
        <v>201</v>
      </c>
      <c r="M25" s="2" t="s">
        <v>92</v>
      </c>
    </row>
    <row r="26">
      <c r="A26" s="3">
        <v>1.0</v>
      </c>
      <c r="B26" s="3">
        <v>25.0</v>
      </c>
      <c r="C26" s="2" t="s">
        <v>13</v>
      </c>
      <c r="D26" s="2" t="s">
        <v>645</v>
      </c>
      <c r="E26" s="2" t="s">
        <v>432</v>
      </c>
      <c r="F26" s="2" t="s">
        <v>433</v>
      </c>
      <c r="G26" s="2" t="s">
        <v>434</v>
      </c>
      <c r="H26" s="2" t="s">
        <v>436</v>
      </c>
      <c r="I26" s="2" t="s">
        <v>439</v>
      </c>
      <c r="J26" s="2" t="s">
        <v>37</v>
      </c>
      <c r="K26" s="2" t="s">
        <v>81</v>
      </c>
      <c r="L26" s="2" t="s">
        <v>219</v>
      </c>
      <c r="M26" s="2" t="s">
        <v>92</v>
      </c>
    </row>
    <row r="27">
      <c r="A27" s="3">
        <v>1.0</v>
      </c>
      <c r="B27" s="3">
        <v>26.0</v>
      </c>
      <c r="C27" s="2" t="s">
        <v>13</v>
      </c>
      <c r="D27" s="2" t="s">
        <v>648</v>
      </c>
      <c r="E27" s="2" t="s">
        <v>445</v>
      </c>
      <c r="F27" s="2" t="s">
        <v>446</v>
      </c>
      <c r="G27" s="2" t="s">
        <v>650</v>
      </c>
      <c r="H27" s="2" t="s">
        <v>448</v>
      </c>
      <c r="I27" s="2" t="s">
        <v>449</v>
      </c>
      <c r="J27" s="2" t="s">
        <v>26</v>
      </c>
      <c r="K27" s="2" t="s">
        <v>21</v>
      </c>
      <c r="L27" s="2" t="s">
        <v>219</v>
      </c>
      <c r="M27" s="2" t="s">
        <v>92</v>
      </c>
    </row>
    <row r="28">
      <c r="A28" s="3">
        <v>1.0</v>
      </c>
      <c r="B28" s="3">
        <v>27.0</v>
      </c>
      <c r="C28" s="2" t="s">
        <v>13</v>
      </c>
      <c r="D28" s="2" t="s">
        <v>654</v>
      </c>
      <c r="E28" s="2" t="s">
        <v>655</v>
      </c>
      <c r="F28" s="2" t="s">
        <v>656</v>
      </c>
      <c r="G28" s="2" t="s">
        <v>657</v>
      </c>
      <c r="H28" s="2" t="s">
        <v>244</v>
      </c>
      <c r="I28" s="2" t="s">
        <v>658</v>
      </c>
      <c r="J28" s="2" t="s">
        <v>41</v>
      </c>
      <c r="K28" s="2" t="s">
        <v>21</v>
      </c>
      <c r="L28" s="2" t="s">
        <v>219</v>
      </c>
      <c r="M28" s="2" t="s">
        <v>92</v>
      </c>
    </row>
    <row r="29">
      <c r="A29" s="3">
        <v>2.0</v>
      </c>
      <c r="B29" s="3">
        <v>1.0</v>
      </c>
      <c r="C29" s="2" t="s">
        <v>13</v>
      </c>
      <c r="D29" s="2" t="s">
        <v>468</v>
      </c>
      <c r="E29" s="2" t="s">
        <v>471</v>
      </c>
      <c r="F29" s="2" t="s">
        <v>472</v>
      </c>
      <c r="G29" s="2" t="s">
        <v>663</v>
      </c>
      <c r="H29" s="2" t="s">
        <v>244</v>
      </c>
      <c r="I29" s="2" t="s">
        <v>474</v>
      </c>
      <c r="J29" s="2" t="s">
        <v>20</v>
      </c>
      <c r="K29" s="2" t="s">
        <v>42</v>
      </c>
      <c r="L29" s="2" t="s">
        <v>219</v>
      </c>
      <c r="M29" s="2" t="s">
        <v>43</v>
      </c>
    </row>
    <row r="30">
      <c r="A30" s="3">
        <v>2.0</v>
      </c>
      <c r="B30" s="3">
        <v>2.0</v>
      </c>
      <c r="C30" s="2" t="s">
        <v>13</v>
      </c>
      <c r="D30" s="2" t="s">
        <v>667</v>
      </c>
      <c r="E30" s="2" t="s">
        <v>476</v>
      </c>
      <c r="F30" s="2" t="s">
        <v>478</v>
      </c>
      <c r="G30" s="2" t="s">
        <v>479</v>
      </c>
      <c r="H30" s="2" t="s">
        <v>480</v>
      </c>
      <c r="I30" s="2" t="s">
        <v>481</v>
      </c>
      <c r="J30" s="2" t="s">
        <v>41</v>
      </c>
      <c r="K30" s="2" t="s">
        <v>33</v>
      </c>
      <c r="L30" s="2" t="s">
        <v>219</v>
      </c>
      <c r="M30" s="2" t="s">
        <v>92</v>
      </c>
    </row>
    <row r="31">
      <c r="A31" s="3">
        <v>2.0</v>
      </c>
      <c r="B31" s="3">
        <v>3.0</v>
      </c>
      <c r="C31" s="2" t="s">
        <v>13</v>
      </c>
      <c r="D31" s="1" t="s">
        <v>159</v>
      </c>
      <c r="E31" s="2" t="s">
        <v>482</v>
      </c>
      <c r="F31" s="2" t="s">
        <v>483</v>
      </c>
      <c r="G31" s="2" t="s">
        <v>678</v>
      </c>
      <c r="H31" s="2" t="s">
        <v>679</v>
      </c>
      <c r="I31" s="2" t="s">
        <v>680</v>
      </c>
      <c r="J31" s="2" t="s">
        <v>26</v>
      </c>
      <c r="K31" s="2" t="s">
        <v>42</v>
      </c>
      <c r="L31" s="2" t="s">
        <v>22</v>
      </c>
      <c r="M31" s="2" t="s">
        <v>23</v>
      </c>
    </row>
    <row r="32">
      <c r="A32" s="3">
        <v>2.0</v>
      </c>
      <c r="B32" s="3">
        <v>4.0</v>
      </c>
      <c r="C32" s="2" t="s">
        <v>13</v>
      </c>
      <c r="D32" s="2" t="s">
        <v>491</v>
      </c>
      <c r="E32" s="2" t="s">
        <v>15</v>
      </c>
      <c r="F32" s="2" t="s">
        <v>492</v>
      </c>
      <c r="G32" s="2" t="s">
        <v>494</v>
      </c>
      <c r="H32" s="2" t="s">
        <v>495</v>
      </c>
      <c r="I32" s="2" t="s">
        <v>496</v>
      </c>
      <c r="J32" s="2" t="s">
        <v>41</v>
      </c>
      <c r="K32" s="2" t="s">
        <v>33</v>
      </c>
      <c r="L32" s="2" t="s">
        <v>22</v>
      </c>
      <c r="M32" s="2" t="s">
        <v>92</v>
      </c>
    </row>
    <row r="33">
      <c r="A33" s="3">
        <v>2.0</v>
      </c>
      <c r="B33" s="3">
        <v>5.0</v>
      </c>
      <c r="C33" s="2" t="s">
        <v>13</v>
      </c>
      <c r="D33" s="4" t="s">
        <v>835</v>
      </c>
      <c r="E33" s="2" t="s">
        <v>504</v>
      </c>
      <c r="F33" s="2" t="s">
        <v>505</v>
      </c>
      <c r="G33" s="2" t="s">
        <v>506</v>
      </c>
      <c r="H33" s="2" t="s">
        <v>507</v>
      </c>
      <c r="I33" s="2" t="s">
        <v>509</v>
      </c>
      <c r="J33" s="2" t="s">
        <v>20</v>
      </c>
      <c r="K33" s="2" t="s">
        <v>81</v>
      </c>
      <c r="L33" s="2" t="s">
        <v>22</v>
      </c>
      <c r="M33" s="2" t="s">
        <v>43</v>
      </c>
    </row>
    <row r="34">
      <c r="A34" s="3">
        <v>2.0</v>
      </c>
      <c r="B34" s="3">
        <v>6.0</v>
      </c>
      <c r="C34" s="2" t="s">
        <v>13</v>
      </c>
      <c r="D34" s="2" t="s">
        <v>514</v>
      </c>
      <c r="E34" s="2" t="s">
        <v>15</v>
      </c>
      <c r="F34" s="2" t="s">
        <v>515</v>
      </c>
      <c r="G34" s="2" t="s">
        <v>516</v>
      </c>
      <c r="H34" s="2" t="s">
        <v>518</v>
      </c>
      <c r="I34" s="2" t="s">
        <v>519</v>
      </c>
      <c r="J34" s="2" t="s">
        <v>26</v>
      </c>
      <c r="K34" s="2" t="s">
        <v>21</v>
      </c>
      <c r="L34" s="2" t="s">
        <v>22</v>
      </c>
      <c r="M34" s="2" t="s">
        <v>92</v>
      </c>
    </row>
    <row r="35">
      <c r="A35" s="3">
        <v>2.0</v>
      </c>
      <c r="B35" s="3">
        <v>7.0</v>
      </c>
      <c r="C35" s="2" t="s">
        <v>13</v>
      </c>
      <c r="D35" s="2" t="s">
        <v>691</v>
      </c>
      <c r="E35" s="2" t="s">
        <v>117</v>
      </c>
      <c r="F35" s="2" t="s">
        <v>526</v>
      </c>
      <c r="G35" s="2" t="s">
        <v>528</v>
      </c>
      <c r="H35" s="2" t="s">
        <v>529</v>
      </c>
      <c r="I35" s="2" t="s">
        <v>531</v>
      </c>
      <c r="J35" s="2" t="s">
        <v>41</v>
      </c>
      <c r="K35" s="2" t="s">
        <v>21</v>
      </c>
      <c r="L35" s="2" t="s">
        <v>82</v>
      </c>
      <c r="M35" s="2" t="s">
        <v>92</v>
      </c>
    </row>
    <row r="36">
      <c r="A36" s="3">
        <v>2.0</v>
      </c>
      <c r="B36" s="3">
        <v>8.0</v>
      </c>
      <c r="C36" s="2" t="s">
        <v>13</v>
      </c>
      <c r="D36" s="2" t="s">
        <v>693</v>
      </c>
      <c r="E36" s="2" t="s">
        <v>537</v>
      </c>
      <c r="F36" s="2" t="s">
        <v>694</v>
      </c>
      <c r="G36" s="2" t="s">
        <v>540</v>
      </c>
      <c r="H36" s="2" t="s">
        <v>542</v>
      </c>
      <c r="I36" s="2" t="s">
        <v>545</v>
      </c>
      <c r="J36" s="2" t="s">
        <v>37</v>
      </c>
      <c r="K36" s="2" t="s">
        <v>33</v>
      </c>
      <c r="L36" s="2" t="s">
        <v>363</v>
      </c>
      <c r="M36" s="2" t="s">
        <v>92</v>
      </c>
    </row>
    <row r="37">
      <c r="A37" s="3">
        <v>2.0</v>
      </c>
      <c r="B37" s="3">
        <v>9.0</v>
      </c>
      <c r="C37" s="2" t="s">
        <v>13</v>
      </c>
      <c r="D37" s="2" t="s">
        <v>697</v>
      </c>
      <c r="E37" s="2" t="s">
        <v>549</v>
      </c>
      <c r="F37" s="2" t="s">
        <v>551</v>
      </c>
      <c r="G37" s="2" t="s">
        <v>552</v>
      </c>
      <c r="H37" s="2" t="s">
        <v>556</v>
      </c>
      <c r="I37" s="2" t="s">
        <v>557</v>
      </c>
      <c r="J37" s="2" t="s">
        <v>41</v>
      </c>
      <c r="K37" s="2" t="s">
        <v>33</v>
      </c>
      <c r="L37" s="2" t="s">
        <v>363</v>
      </c>
      <c r="M37" s="2" t="s">
        <v>92</v>
      </c>
    </row>
    <row r="38">
      <c r="A38" s="3">
        <v>2.0</v>
      </c>
      <c r="B38" s="3">
        <v>10.0</v>
      </c>
      <c r="C38" s="2" t="s">
        <v>13</v>
      </c>
      <c r="D38" s="2" t="s">
        <v>560</v>
      </c>
      <c r="E38" s="2" t="s">
        <v>563</v>
      </c>
      <c r="F38" s="2" t="s">
        <v>565</v>
      </c>
      <c r="G38" s="2" t="s">
        <v>567</v>
      </c>
      <c r="H38" s="2" t="s">
        <v>568</v>
      </c>
      <c r="I38" s="2" t="s">
        <v>569</v>
      </c>
      <c r="J38" s="2" t="s">
        <v>20</v>
      </c>
      <c r="K38" s="2" t="s">
        <v>21</v>
      </c>
      <c r="L38" s="2" t="s">
        <v>112</v>
      </c>
      <c r="M38" s="2" t="s">
        <v>92</v>
      </c>
    </row>
    <row r="39">
      <c r="A39" s="3">
        <v>2.0</v>
      </c>
      <c r="B39" s="3">
        <v>11.0</v>
      </c>
      <c r="C39" s="2" t="s">
        <v>13</v>
      </c>
      <c r="D39" s="2" t="s">
        <v>572</v>
      </c>
      <c r="E39" s="2" t="s">
        <v>703</v>
      </c>
      <c r="F39" s="2" t="s">
        <v>704</v>
      </c>
      <c r="G39" s="2" t="s">
        <v>705</v>
      </c>
      <c r="H39" s="2" t="s">
        <v>706</v>
      </c>
      <c r="I39" s="2" t="s">
        <v>707</v>
      </c>
      <c r="J39" s="2" t="s">
        <v>20</v>
      </c>
      <c r="K39" s="2" t="s">
        <v>21</v>
      </c>
      <c r="L39" s="2" t="s">
        <v>201</v>
      </c>
      <c r="M39" s="2" t="s">
        <v>43</v>
      </c>
    </row>
    <row r="40">
      <c r="A40" s="3">
        <v>2.0</v>
      </c>
      <c r="B40" s="3">
        <v>12.0</v>
      </c>
      <c r="C40" s="2" t="s">
        <v>13</v>
      </c>
      <c r="D40" s="2" t="s">
        <v>576</v>
      </c>
      <c r="E40" s="2" t="s">
        <v>579</v>
      </c>
      <c r="F40" s="2" t="s">
        <v>581</v>
      </c>
      <c r="G40" s="2" t="s">
        <v>582</v>
      </c>
      <c r="H40" s="2" t="s">
        <v>583</v>
      </c>
      <c r="I40" s="2" t="s">
        <v>584</v>
      </c>
      <c r="J40" s="2" t="s">
        <v>26</v>
      </c>
      <c r="K40" s="2" t="s">
        <v>21</v>
      </c>
      <c r="L40" s="2" t="s">
        <v>112</v>
      </c>
      <c r="M40" s="2" t="s">
        <v>92</v>
      </c>
    </row>
    <row r="41">
      <c r="A41" s="3">
        <v>2.0</v>
      </c>
      <c r="B41" s="3">
        <v>13.0</v>
      </c>
      <c r="C41" s="2" t="s">
        <v>13</v>
      </c>
      <c r="D41" s="2" t="s">
        <v>586</v>
      </c>
      <c r="E41" s="2" t="s">
        <v>587</v>
      </c>
      <c r="F41" s="2" t="s">
        <v>588</v>
      </c>
      <c r="G41" s="2" t="s">
        <v>590</v>
      </c>
      <c r="H41" s="2" t="s">
        <v>591</v>
      </c>
      <c r="I41" s="2" t="s">
        <v>593</v>
      </c>
      <c r="J41" s="2" t="s">
        <v>26</v>
      </c>
      <c r="K41" s="2" t="s">
        <v>21</v>
      </c>
      <c r="L41" s="2" t="s">
        <v>112</v>
      </c>
      <c r="M41" s="2" t="s">
        <v>92</v>
      </c>
    </row>
    <row r="42">
      <c r="A42" s="3">
        <v>2.0</v>
      </c>
      <c r="B42" s="3">
        <v>14.0</v>
      </c>
      <c r="C42" s="2" t="s">
        <v>13</v>
      </c>
      <c r="D42" s="2" t="s">
        <v>597</v>
      </c>
      <c r="E42" s="2" t="s">
        <v>598</v>
      </c>
      <c r="F42" s="2" t="s">
        <v>599</v>
      </c>
      <c r="G42" s="1" t="s">
        <v>159</v>
      </c>
      <c r="H42" s="1" t="s">
        <v>159</v>
      </c>
      <c r="I42" s="1" t="s">
        <v>159</v>
      </c>
      <c r="J42" s="2" t="s">
        <v>20</v>
      </c>
      <c r="K42" s="2" t="s">
        <v>33</v>
      </c>
      <c r="L42" s="2" t="s">
        <v>136</v>
      </c>
      <c r="M42" s="2" t="s">
        <v>92</v>
      </c>
    </row>
    <row r="43">
      <c r="A43" s="3">
        <v>2.0</v>
      </c>
      <c r="B43" s="3">
        <v>15.0</v>
      </c>
      <c r="C43" s="2" t="s">
        <v>13</v>
      </c>
      <c r="D43" s="2" t="s">
        <v>721</v>
      </c>
      <c r="E43" s="2" t="s">
        <v>601</v>
      </c>
      <c r="F43" s="2" t="s">
        <v>602</v>
      </c>
      <c r="G43" s="1" t="s">
        <v>159</v>
      </c>
      <c r="H43" s="1" t="s">
        <v>159</v>
      </c>
      <c r="I43" s="1" t="s">
        <v>159</v>
      </c>
      <c r="J43" s="2" t="s">
        <v>20</v>
      </c>
      <c r="K43" s="2" t="s">
        <v>21</v>
      </c>
      <c r="L43" s="2" t="s">
        <v>136</v>
      </c>
      <c r="M43" s="2" t="s">
        <v>92</v>
      </c>
    </row>
    <row r="44">
      <c r="A44" s="3">
        <v>2.0</v>
      </c>
      <c r="B44" s="3">
        <v>16.0</v>
      </c>
      <c r="C44" s="2" t="s">
        <v>13</v>
      </c>
      <c r="D44" s="2" t="s">
        <v>727</v>
      </c>
      <c r="E44" s="2" t="s">
        <v>161</v>
      </c>
      <c r="F44" s="2" t="s">
        <v>604</v>
      </c>
      <c r="G44" s="2" t="s">
        <v>605</v>
      </c>
      <c r="H44" s="2" t="s">
        <v>729</v>
      </c>
      <c r="I44" s="2" t="s">
        <v>607</v>
      </c>
      <c r="J44" s="2" t="s">
        <v>41</v>
      </c>
      <c r="K44" s="2" t="s">
        <v>33</v>
      </c>
      <c r="L44" s="2" t="s">
        <v>166</v>
      </c>
      <c r="M44" s="2" t="s">
        <v>92</v>
      </c>
    </row>
    <row r="45">
      <c r="A45" s="3">
        <v>2.0</v>
      </c>
      <c r="B45" s="3">
        <v>17.0</v>
      </c>
      <c r="C45" s="2" t="s">
        <v>13</v>
      </c>
      <c r="D45" s="2" t="s">
        <v>608</v>
      </c>
      <c r="E45" s="2" t="s">
        <v>161</v>
      </c>
      <c r="F45" s="2" t="s">
        <v>609</v>
      </c>
      <c r="G45" s="2" t="s">
        <v>610</v>
      </c>
      <c r="H45" s="2" t="s">
        <v>611</v>
      </c>
      <c r="I45" s="2" t="s">
        <v>612</v>
      </c>
      <c r="J45" s="2" t="s">
        <v>41</v>
      </c>
      <c r="K45" s="2" t="s">
        <v>21</v>
      </c>
      <c r="L45" s="2" t="s">
        <v>166</v>
      </c>
      <c r="M45" s="2" t="s">
        <v>92</v>
      </c>
    </row>
    <row r="46">
      <c r="A46" s="3">
        <v>2.0</v>
      </c>
      <c r="B46" s="3">
        <v>18.0</v>
      </c>
      <c r="C46" s="2" t="s">
        <v>13</v>
      </c>
      <c r="D46" s="2" t="s">
        <v>736</v>
      </c>
      <c r="E46" s="2" t="s">
        <v>161</v>
      </c>
      <c r="F46" s="2" t="s">
        <v>614</v>
      </c>
      <c r="G46" s="2" t="s">
        <v>615</v>
      </c>
      <c r="H46" s="2" t="s">
        <v>617</v>
      </c>
      <c r="I46" s="2" t="s">
        <v>618</v>
      </c>
      <c r="J46" s="2" t="s">
        <v>41</v>
      </c>
      <c r="K46" s="2" t="s">
        <v>33</v>
      </c>
      <c r="L46" s="2" t="s">
        <v>166</v>
      </c>
      <c r="M46" s="2" t="s">
        <v>92</v>
      </c>
    </row>
    <row r="47">
      <c r="A47" s="3">
        <v>2.0</v>
      </c>
      <c r="B47" s="3">
        <v>19.0</v>
      </c>
      <c r="C47" s="2" t="s">
        <v>13</v>
      </c>
      <c r="D47" s="2" t="s">
        <v>742</v>
      </c>
      <c r="E47" s="2" t="s">
        <v>168</v>
      </c>
      <c r="F47" s="2" t="s">
        <v>620</v>
      </c>
      <c r="G47" s="2" t="s">
        <v>621</v>
      </c>
      <c r="H47" s="2" t="s">
        <v>622</v>
      </c>
      <c r="I47" s="2" t="s">
        <v>623</v>
      </c>
      <c r="J47" s="2" t="s">
        <v>41</v>
      </c>
      <c r="K47" s="2" t="s">
        <v>33</v>
      </c>
      <c r="L47" s="2" t="s">
        <v>184</v>
      </c>
      <c r="M47" s="2" t="s">
        <v>23</v>
      </c>
    </row>
    <row r="48">
      <c r="A48" s="3">
        <v>2.0</v>
      </c>
      <c r="B48" s="3">
        <v>20.0</v>
      </c>
      <c r="C48" s="2" t="s">
        <v>13</v>
      </c>
      <c r="D48" s="2" t="s">
        <v>744</v>
      </c>
      <c r="E48" s="2" t="s">
        <v>168</v>
      </c>
      <c r="F48" s="2" t="s">
        <v>625</v>
      </c>
      <c r="G48" s="2" t="s">
        <v>626</v>
      </c>
      <c r="H48" s="2" t="s">
        <v>627</v>
      </c>
      <c r="I48" s="2" t="s">
        <v>628</v>
      </c>
      <c r="J48" s="2" t="s">
        <v>26</v>
      </c>
      <c r="K48" s="2" t="s">
        <v>81</v>
      </c>
      <c r="L48" s="2" t="s">
        <v>173</v>
      </c>
      <c r="M48" s="2" t="s">
        <v>92</v>
      </c>
    </row>
    <row r="49">
      <c r="A49" s="3">
        <v>2.0</v>
      </c>
      <c r="B49" s="3">
        <v>21.0</v>
      </c>
      <c r="C49" s="2" t="s">
        <v>13</v>
      </c>
      <c r="D49" s="2" t="s">
        <v>629</v>
      </c>
      <c r="E49" s="2" t="s">
        <v>168</v>
      </c>
      <c r="F49" s="2" t="s">
        <v>630</v>
      </c>
      <c r="G49" s="2" t="s">
        <v>631</v>
      </c>
      <c r="H49" s="2" t="s">
        <v>632</v>
      </c>
      <c r="I49" s="2" t="s">
        <v>633</v>
      </c>
      <c r="J49" s="2" t="s">
        <v>37</v>
      </c>
      <c r="K49" s="2" t="s">
        <v>33</v>
      </c>
      <c r="L49" s="2" t="s">
        <v>173</v>
      </c>
      <c r="M49" s="2" t="s">
        <v>23</v>
      </c>
    </row>
    <row r="50">
      <c r="A50" s="3">
        <v>2.0</v>
      </c>
      <c r="B50" s="3">
        <v>22.0</v>
      </c>
      <c r="C50" s="2" t="s">
        <v>13</v>
      </c>
      <c r="D50" s="2" t="s">
        <v>634</v>
      </c>
      <c r="E50" s="2" t="s">
        <v>168</v>
      </c>
      <c r="F50" s="2" t="s">
        <v>635</v>
      </c>
      <c r="G50" s="2" t="s">
        <v>636</v>
      </c>
      <c r="H50" s="2" t="s">
        <v>637</v>
      </c>
      <c r="I50" s="2" t="s">
        <v>638</v>
      </c>
      <c r="J50" s="2" t="s">
        <v>20</v>
      </c>
      <c r="K50" s="2" t="s">
        <v>21</v>
      </c>
      <c r="L50" s="2" t="s">
        <v>184</v>
      </c>
      <c r="M50" s="2" t="s">
        <v>23</v>
      </c>
    </row>
    <row r="51">
      <c r="A51" s="3">
        <v>2.0</v>
      </c>
      <c r="B51" s="3">
        <v>23.0</v>
      </c>
      <c r="C51" s="2" t="s">
        <v>13</v>
      </c>
      <c r="D51" s="2" t="s">
        <v>756</v>
      </c>
      <c r="E51" s="2" t="s">
        <v>168</v>
      </c>
      <c r="F51" s="2" t="s">
        <v>640</v>
      </c>
      <c r="G51" s="2" t="s">
        <v>384</v>
      </c>
      <c r="H51" s="2" t="s">
        <v>641</v>
      </c>
      <c r="I51" s="2" t="s">
        <v>386</v>
      </c>
      <c r="J51" s="2" t="s">
        <v>26</v>
      </c>
      <c r="K51" s="2" t="s">
        <v>33</v>
      </c>
      <c r="L51" s="2" t="s">
        <v>173</v>
      </c>
      <c r="M51" s="2" t="s">
        <v>92</v>
      </c>
    </row>
    <row r="52">
      <c r="A52" s="3">
        <v>2.0</v>
      </c>
      <c r="B52" s="3">
        <v>24.0</v>
      </c>
      <c r="C52" s="2" t="s">
        <v>13</v>
      </c>
      <c r="D52" s="2" t="s">
        <v>644</v>
      </c>
      <c r="E52" s="2" t="s">
        <v>168</v>
      </c>
      <c r="F52" s="1" t="s">
        <v>159</v>
      </c>
      <c r="G52" s="1" t="s">
        <v>159</v>
      </c>
      <c r="H52" s="1" t="s">
        <v>159</v>
      </c>
      <c r="I52" s="1" t="s">
        <v>159</v>
      </c>
      <c r="J52" s="2">
        <v>1714.0</v>
      </c>
      <c r="K52" s="2" t="s">
        <v>329</v>
      </c>
      <c r="L52" s="2" t="s">
        <v>329</v>
      </c>
      <c r="M52" s="2" t="s">
        <v>329</v>
      </c>
    </row>
    <row r="53">
      <c r="A53" s="3">
        <v>2.0</v>
      </c>
      <c r="B53" s="3">
        <v>25.0</v>
      </c>
      <c r="K53" s="2" t="s">
        <v>662</v>
      </c>
      <c r="L53" s="2" t="s">
        <v>662</v>
      </c>
      <c r="M53" s="2" t="s">
        <v>662</v>
      </c>
    </row>
    <row r="54">
      <c r="A54" s="3">
        <v>2.0</v>
      </c>
      <c r="B54" s="3">
        <v>26.0</v>
      </c>
      <c r="K54" s="2" t="s">
        <v>662</v>
      </c>
      <c r="L54" s="2" t="s">
        <v>662</v>
      </c>
      <c r="M54" s="2" t="s">
        <v>662</v>
      </c>
    </row>
    <row r="55">
      <c r="A55" s="3">
        <v>2.0</v>
      </c>
      <c r="B55" s="3">
        <v>27.0</v>
      </c>
      <c r="K55" s="2" t="s">
        <v>662</v>
      </c>
      <c r="L55" s="2" t="s">
        <v>662</v>
      </c>
      <c r="M55" s="2" t="s">
        <v>662</v>
      </c>
    </row>
    <row r="56">
      <c r="A56" s="3">
        <v>1.0</v>
      </c>
      <c r="B56" s="3">
        <v>1.0</v>
      </c>
      <c r="C56" s="2" t="s">
        <v>316</v>
      </c>
      <c r="D56" s="2" t="s">
        <v>646</v>
      </c>
      <c r="E56" s="2" t="s">
        <v>196</v>
      </c>
      <c r="F56" s="2" t="s">
        <v>561</v>
      </c>
      <c r="G56" s="2" t="s">
        <v>562</v>
      </c>
      <c r="H56" s="2" t="s">
        <v>566</v>
      </c>
      <c r="I56" s="2" t="s">
        <v>564</v>
      </c>
      <c r="J56" s="2" t="s">
        <v>37</v>
      </c>
      <c r="K56" s="2" t="s">
        <v>662</v>
      </c>
      <c r="L56" s="2" t="s">
        <v>662</v>
      </c>
      <c r="M56" s="2" t="s">
        <v>662</v>
      </c>
    </row>
    <row r="57">
      <c r="A57" s="3">
        <v>1.0</v>
      </c>
      <c r="B57" s="3">
        <v>2.0</v>
      </c>
      <c r="C57" s="2" t="s">
        <v>316</v>
      </c>
      <c r="D57" s="2" t="s">
        <v>647</v>
      </c>
      <c r="E57" s="2" t="s">
        <v>196</v>
      </c>
      <c r="F57" s="2" t="s">
        <v>562</v>
      </c>
      <c r="G57" s="2" t="s">
        <v>203</v>
      </c>
      <c r="H57" s="2" t="s">
        <v>649</v>
      </c>
      <c r="I57" s="2" t="s">
        <v>561</v>
      </c>
      <c r="J57" s="2" t="s">
        <v>20</v>
      </c>
      <c r="K57" s="2" t="s">
        <v>662</v>
      </c>
      <c r="L57" s="2" t="s">
        <v>662</v>
      </c>
      <c r="M57" s="2" t="s">
        <v>662</v>
      </c>
    </row>
    <row r="58">
      <c r="A58" s="3">
        <v>1.0</v>
      </c>
      <c r="B58" s="3">
        <v>3.0</v>
      </c>
      <c r="C58" s="2" t="s">
        <v>316</v>
      </c>
      <c r="D58" s="2" t="s">
        <v>651</v>
      </c>
      <c r="E58" s="2" t="s">
        <v>196</v>
      </c>
      <c r="F58" s="2" t="s">
        <v>198</v>
      </c>
      <c r="G58" s="2" t="s">
        <v>652</v>
      </c>
      <c r="H58" s="2" t="s">
        <v>561</v>
      </c>
      <c r="I58" s="2" t="s">
        <v>653</v>
      </c>
      <c r="J58" s="2" t="s">
        <v>20</v>
      </c>
      <c r="K58" s="2" t="s">
        <v>662</v>
      </c>
      <c r="L58" s="2" t="s">
        <v>662</v>
      </c>
      <c r="M58" s="2" t="s">
        <v>662</v>
      </c>
    </row>
    <row r="59">
      <c r="A59" s="3">
        <v>1.0</v>
      </c>
      <c r="B59" s="3">
        <v>4.0</v>
      </c>
      <c r="C59" s="2" t="s">
        <v>316</v>
      </c>
      <c r="D59" s="2" t="s">
        <v>659</v>
      </c>
      <c r="E59" s="2" t="s">
        <v>196</v>
      </c>
      <c r="F59" s="2" t="s">
        <v>767</v>
      </c>
      <c r="G59" s="2" t="s">
        <v>768</v>
      </c>
      <c r="H59" s="2" t="s">
        <v>769</v>
      </c>
      <c r="I59" s="2" t="s">
        <v>770</v>
      </c>
      <c r="J59" s="2" t="s">
        <v>41</v>
      </c>
      <c r="K59" s="2" t="s">
        <v>662</v>
      </c>
      <c r="L59" s="2" t="s">
        <v>662</v>
      </c>
      <c r="M59" s="2" t="s">
        <v>662</v>
      </c>
    </row>
    <row r="60">
      <c r="A60" s="3">
        <v>1.0</v>
      </c>
      <c r="B60" s="3">
        <v>5.0</v>
      </c>
      <c r="C60" s="2" t="s">
        <v>316</v>
      </c>
      <c r="D60" s="1" t="s">
        <v>159</v>
      </c>
      <c r="E60" s="2" t="s">
        <v>196</v>
      </c>
      <c r="F60" s="2" t="s">
        <v>664</v>
      </c>
      <c r="G60" s="2" t="s">
        <v>197</v>
      </c>
      <c r="H60" s="2" t="s">
        <v>665</v>
      </c>
      <c r="I60" s="2" t="s">
        <v>666</v>
      </c>
      <c r="J60" s="2" t="s">
        <v>26</v>
      </c>
      <c r="K60" s="2" t="s">
        <v>662</v>
      </c>
      <c r="L60" s="2" t="s">
        <v>662</v>
      </c>
      <c r="M60" s="2" t="s">
        <v>662</v>
      </c>
    </row>
    <row r="61">
      <c r="A61" s="3">
        <v>1.0</v>
      </c>
      <c r="B61" s="3">
        <v>6.0</v>
      </c>
      <c r="C61" s="2" t="s">
        <v>316</v>
      </c>
      <c r="D61" s="2" t="s">
        <v>668</v>
      </c>
      <c r="E61" s="2" t="s">
        <v>196</v>
      </c>
      <c r="F61" s="2" t="s">
        <v>564</v>
      </c>
      <c r="G61" s="2" t="s">
        <v>669</v>
      </c>
      <c r="H61" s="2" t="s">
        <v>670</v>
      </c>
      <c r="I61" s="2" t="s">
        <v>671</v>
      </c>
      <c r="J61" s="2" t="s">
        <v>41</v>
      </c>
      <c r="K61" s="2" t="s">
        <v>662</v>
      </c>
      <c r="L61" s="2" t="s">
        <v>662</v>
      </c>
      <c r="M61" s="2" t="s">
        <v>662</v>
      </c>
    </row>
    <row r="62">
      <c r="A62" s="3">
        <v>1.0</v>
      </c>
      <c r="B62" s="3">
        <v>7.0</v>
      </c>
      <c r="C62" s="2" t="s">
        <v>316</v>
      </c>
      <c r="D62" s="2" t="s">
        <v>672</v>
      </c>
      <c r="E62" s="2" t="s">
        <v>673</v>
      </c>
      <c r="F62" s="2" t="s">
        <v>674</v>
      </c>
      <c r="G62" s="2" t="s">
        <v>675</v>
      </c>
      <c r="H62" s="2" t="s">
        <v>676</v>
      </c>
      <c r="I62" s="2" t="s">
        <v>677</v>
      </c>
      <c r="J62" s="2" t="s">
        <v>20</v>
      </c>
      <c r="K62" s="2" t="s">
        <v>662</v>
      </c>
      <c r="L62" s="2" t="s">
        <v>662</v>
      </c>
      <c r="M62" s="2" t="s">
        <v>662</v>
      </c>
    </row>
    <row r="63">
      <c r="A63" s="3">
        <v>1.0</v>
      </c>
      <c r="B63" s="3">
        <v>8.0</v>
      </c>
      <c r="C63" s="2" t="s">
        <v>316</v>
      </c>
      <c r="D63" s="1" t="s">
        <v>159</v>
      </c>
      <c r="E63" s="2" t="s">
        <v>681</v>
      </c>
      <c r="F63" s="1" t="s">
        <v>159</v>
      </c>
      <c r="G63" s="1" t="s">
        <v>159</v>
      </c>
      <c r="H63" s="1" t="s">
        <v>159</v>
      </c>
      <c r="I63" s="1" t="s">
        <v>159</v>
      </c>
      <c r="J63" s="2">
        <v>602.0</v>
      </c>
      <c r="K63" s="2" t="s">
        <v>662</v>
      </c>
      <c r="L63" s="2" t="s">
        <v>662</v>
      </c>
      <c r="M63" s="2" t="s">
        <v>662</v>
      </c>
    </row>
    <row r="64">
      <c r="A64" s="3">
        <v>1.0</v>
      </c>
      <c r="B64" s="3">
        <v>9.0</v>
      </c>
      <c r="C64" s="2" t="s">
        <v>316</v>
      </c>
      <c r="D64" s="2" t="s">
        <v>683</v>
      </c>
      <c r="E64" s="2" t="s">
        <v>782</v>
      </c>
      <c r="F64" s="2" t="s">
        <v>684</v>
      </c>
      <c r="G64" s="2" t="s">
        <v>685</v>
      </c>
      <c r="H64" s="8">
        <v>46026.0</v>
      </c>
      <c r="I64" s="8">
        <v>46213.0</v>
      </c>
      <c r="J64" s="2" t="s">
        <v>26</v>
      </c>
      <c r="K64" s="2" t="s">
        <v>662</v>
      </c>
      <c r="L64" s="2" t="s">
        <v>662</v>
      </c>
      <c r="M64" s="2" t="s">
        <v>662</v>
      </c>
    </row>
    <row r="65">
      <c r="A65" s="3">
        <v>1.0</v>
      </c>
      <c r="B65" s="3">
        <v>10.0</v>
      </c>
      <c r="C65" s="2" t="s">
        <v>316</v>
      </c>
      <c r="D65" s="1" t="s">
        <v>159</v>
      </c>
      <c r="E65" s="2" t="s">
        <v>784</v>
      </c>
      <c r="F65" s="2">
        <v>-3.0</v>
      </c>
      <c r="G65" s="2">
        <v>15.0</v>
      </c>
      <c r="H65" s="2">
        <v>18.0</v>
      </c>
      <c r="I65" s="2">
        <v>21.0</v>
      </c>
      <c r="J65" s="2" t="s">
        <v>41</v>
      </c>
      <c r="K65" s="2" t="s">
        <v>662</v>
      </c>
      <c r="L65" s="2" t="s">
        <v>662</v>
      </c>
      <c r="M65" s="2" t="s">
        <v>662</v>
      </c>
    </row>
    <row r="66">
      <c r="A66" s="3">
        <v>1.0</v>
      </c>
      <c r="B66" s="3">
        <v>11.0</v>
      </c>
      <c r="C66" s="2" t="s">
        <v>316</v>
      </c>
      <c r="D66" s="1" t="s">
        <v>159</v>
      </c>
      <c r="E66" s="2" t="s">
        <v>688</v>
      </c>
      <c r="F66" s="1" t="s">
        <v>159</v>
      </c>
      <c r="G66" s="1" t="s">
        <v>159</v>
      </c>
      <c r="H66" s="1" t="s">
        <v>159</v>
      </c>
      <c r="I66" s="1" t="s">
        <v>159</v>
      </c>
      <c r="J66" s="2">
        <v>654.0</v>
      </c>
      <c r="K66" s="2" t="s">
        <v>662</v>
      </c>
      <c r="L66" s="2" t="s">
        <v>662</v>
      </c>
      <c r="M66" s="2" t="s">
        <v>662</v>
      </c>
    </row>
    <row r="67">
      <c r="A67" s="3">
        <v>1.0</v>
      </c>
      <c r="B67" s="3">
        <v>12.0</v>
      </c>
      <c r="C67" s="2" t="s">
        <v>316</v>
      </c>
      <c r="D67" s="1" t="s">
        <v>159</v>
      </c>
      <c r="E67" s="2" t="s">
        <v>689</v>
      </c>
      <c r="F67" s="1" t="s">
        <v>159</v>
      </c>
      <c r="G67" s="1" t="s">
        <v>159</v>
      </c>
      <c r="H67" s="1" t="s">
        <v>159</v>
      </c>
      <c r="I67" s="1" t="s">
        <v>159</v>
      </c>
      <c r="J67" s="2">
        <v>5900.0</v>
      </c>
      <c r="K67" s="2" t="s">
        <v>662</v>
      </c>
      <c r="L67" s="2" t="s">
        <v>662</v>
      </c>
      <c r="M67" s="2" t="s">
        <v>662</v>
      </c>
    </row>
    <row r="68">
      <c r="A68" s="3">
        <v>1.0</v>
      </c>
      <c r="B68" s="3">
        <v>13.0</v>
      </c>
      <c r="C68" s="2" t="s">
        <v>316</v>
      </c>
      <c r="D68" s="1" t="s">
        <v>159</v>
      </c>
      <c r="E68" s="2" t="s">
        <v>690</v>
      </c>
      <c r="F68" s="1" t="s">
        <v>159</v>
      </c>
      <c r="G68" s="1" t="s">
        <v>159</v>
      </c>
      <c r="H68" s="1" t="s">
        <v>159</v>
      </c>
      <c r="I68" s="1" t="s">
        <v>159</v>
      </c>
      <c r="J68" s="2">
        <v>1.2</v>
      </c>
      <c r="K68" s="2" t="s">
        <v>662</v>
      </c>
      <c r="L68" s="2" t="s">
        <v>662</v>
      </c>
      <c r="M68" s="2" t="s">
        <v>662</v>
      </c>
    </row>
    <row r="69">
      <c r="A69" s="3">
        <v>1.0</v>
      </c>
      <c r="B69" s="3">
        <v>14.0</v>
      </c>
      <c r="C69" s="2" t="s">
        <v>316</v>
      </c>
      <c r="D69" s="1" t="s">
        <v>159</v>
      </c>
      <c r="E69" s="2" t="s">
        <v>692</v>
      </c>
      <c r="F69" s="2">
        <v>64.0</v>
      </c>
      <c r="G69" s="2">
        <v>81.0</v>
      </c>
      <c r="H69" s="2">
        <v>258.0</v>
      </c>
      <c r="I69" s="2">
        <v>384.0</v>
      </c>
      <c r="J69" s="2" t="s">
        <v>41</v>
      </c>
      <c r="K69" s="2" t="s">
        <v>662</v>
      </c>
      <c r="L69" s="2" t="s">
        <v>662</v>
      </c>
      <c r="M69" s="2" t="s">
        <v>662</v>
      </c>
    </row>
    <row r="70">
      <c r="A70" s="3">
        <v>1.0</v>
      </c>
      <c r="B70" s="3">
        <v>15.0</v>
      </c>
      <c r="C70" s="2" t="s">
        <v>316</v>
      </c>
      <c r="D70" s="2" t="s">
        <v>791</v>
      </c>
      <c r="E70" s="2" t="s">
        <v>696</v>
      </c>
      <c r="F70" s="1" t="s">
        <v>159</v>
      </c>
      <c r="G70" s="1" t="s">
        <v>159</v>
      </c>
      <c r="H70" s="1" t="s">
        <v>159</v>
      </c>
      <c r="I70" s="1" t="s">
        <v>159</v>
      </c>
      <c r="J70" s="2" t="s">
        <v>26</v>
      </c>
      <c r="K70" s="2" t="s">
        <v>662</v>
      </c>
      <c r="L70" s="2" t="s">
        <v>662</v>
      </c>
      <c r="M70" s="2" t="s">
        <v>662</v>
      </c>
    </row>
    <row r="71">
      <c r="A71" s="3">
        <v>1.0</v>
      </c>
      <c r="B71" s="3">
        <v>16.0</v>
      </c>
      <c r="C71" s="2" t="s">
        <v>316</v>
      </c>
      <c r="D71" s="1" t="s">
        <v>159</v>
      </c>
      <c r="E71" s="2" t="s">
        <v>798</v>
      </c>
      <c r="F71" s="1" t="s">
        <v>159</v>
      </c>
      <c r="G71" s="1" t="s">
        <v>159</v>
      </c>
      <c r="H71" s="1" t="s">
        <v>159</v>
      </c>
      <c r="I71" s="1" t="s">
        <v>159</v>
      </c>
      <c r="J71" s="2" t="s">
        <v>20</v>
      </c>
      <c r="K71" s="2" t="s">
        <v>662</v>
      </c>
      <c r="L71" s="2" t="s">
        <v>662</v>
      </c>
      <c r="M71" s="2" t="s">
        <v>662</v>
      </c>
    </row>
    <row r="72">
      <c r="A72" s="3">
        <v>1.0</v>
      </c>
      <c r="B72" s="3">
        <v>17.0</v>
      </c>
      <c r="C72" s="2" t="s">
        <v>316</v>
      </c>
      <c r="D72" s="2" t="s">
        <v>805</v>
      </c>
      <c r="E72" s="2" t="s">
        <v>806</v>
      </c>
      <c r="F72" s="1" t="s">
        <v>159</v>
      </c>
      <c r="G72" s="1" t="s">
        <v>159</v>
      </c>
      <c r="H72" s="1" t="s">
        <v>159</v>
      </c>
      <c r="I72" s="1" t="s">
        <v>159</v>
      </c>
      <c r="J72" s="2">
        <v>208.0</v>
      </c>
      <c r="K72" s="2" t="s">
        <v>662</v>
      </c>
      <c r="L72" s="2" t="s">
        <v>662</v>
      </c>
      <c r="M72" s="2" t="s">
        <v>662</v>
      </c>
    </row>
    <row r="73">
      <c r="A73" s="3">
        <v>1.0</v>
      </c>
      <c r="B73" s="3">
        <v>18.0</v>
      </c>
      <c r="C73" s="2" t="s">
        <v>316</v>
      </c>
      <c r="D73" s="2" t="s">
        <v>808</v>
      </c>
      <c r="E73" s="1" t="s">
        <v>159</v>
      </c>
      <c r="F73" s="1" t="s">
        <v>159</v>
      </c>
      <c r="G73" s="1" t="s">
        <v>159</v>
      </c>
      <c r="H73" s="1" t="s">
        <v>159</v>
      </c>
      <c r="I73" s="1" t="s">
        <v>159</v>
      </c>
      <c r="J73" s="2">
        <v>15.0</v>
      </c>
      <c r="K73" s="2" t="s">
        <v>662</v>
      </c>
      <c r="L73" s="2" t="s">
        <v>662</v>
      </c>
      <c r="M73" s="2" t="s">
        <v>662</v>
      </c>
    </row>
    <row r="74">
      <c r="A74" s="3">
        <v>1.0</v>
      </c>
      <c r="B74" s="3">
        <v>19.0</v>
      </c>
      <c r="C74" s="2" t="s">
        <v>316</v>
      </c>
      <c r="D74" s="1" t="s">
        <v>159</v>
      </c>
      <c r="E74" s="2" t="s">
        <v>809</v>
      </c>
      <c r="F74" s="2">
        <v>40.0</v>
      </c>
      <c r="G74" s="2">
        <v>20.0</v>
      </c>
      <c r="H74" s="2">
        <v>10.0</v>
      </c>
      <c r="I74" s="6" t="s">
        <v>930</v>
      </c>
      <c r="J74" s="2">
        <v>20.0</v>
      </c>
      <c r="K74" s="2" t="s">
        <v>662</v>
      </c>
      <c r="L74" s="2" t="s">
        <v>662</v>
      </c>
      <c r="M74" s="2" t="s">
        <v>662</v>
      </c>
    </row>
    <row r="75">
      <c r="A75" s="3">
        <v>1.0</v>
      </c>
      <c r="B75" s="3">
        <v>20.0</v>
      </c>
      <c r="C75" s="2" t="s">
        <v>316</v>
      </c>
      <c r="D75" s="2" t="s">
        <v>811</v>
      </c>
      <c r="E75" s="2" t="s">
        <v>710</v>
      </c>
      <c r="F75" s="2" t="s">
        <v>711</v>
      </c>
      <c r="G75" s="8">
        <v>46048.0</v>
      </c>
      <c r="H75" s="2" t="s">
        <v>712</v>
      </c>
      <c r="I75" s="2" t="s">
        <v>713</v>
      </c>
      <c r="J75" s="2" t="s">
        <v>41</v>
      </c>
      <c r="K75" s="2" t="s">
        <v>662</v>
      </c>
      <c r="L75" s="2" t="s">
        <v>662</v>
      </c>
      <c r="M75" s="2" t="s">
        <v>662</v>
      </c>
      <c r="N75" s="7" t="str">
        <f>IMAGE("https://lh3.googleusercontent.com/d/1IvRSzJVwl68NfzR5DVzH7UcrEdZ3AX9N")</f>
        <v/>
      </c>
    </row>
    <row r="76">
      <c r="A76" s="3">
        <v>1.0</v>
      </c>
      <c r="B76" s="3">
        <v>21.0</v>
      </c>
      <c r="C76" s="2" t="s">
        <v>316</v>
      </c>
      <c r="D76" s="6" t="s">
        <v>932</v>
      </c>
      <c r="E76" s="2" t="s">
        <v>817</v>
      </c>
      <c r="F76" s="2" t="s">
        <v>818</v>
      </c>
      <c r="G76" s="2" t="s">
        <v>820</v>
      </c>
      <c r="H76" s="2" t="s">
        <v>725</v>
      </c>
      <c r="I76" s="2" t="s">
        <v>781</v>
      </c>
      <c r="J76" s="2" t="s">
        <v>37</v>
      </c>
      <c r="K76" s="2" t="s">
        <v>662</v>
      </c>
      <c r="L76" s="2" t="s">
        <v>662</v>
      </c>
      <c r="M76" s="2" t="s">
        <v>662</v>
      </c>
    </row>
    <row r="77">
      <c r="A77" s="3">
        <v>1.0</v>
      </c>
      <c r="B77" s="3">
        <v>22.0</v>
      </c>
      <c r="C77" s="2" t="s">
        <v>316</v>
      </c>
      <c r="D77" s="1" t="s">
        <v>159</v>
      </c>
      <c r="E77" s="2" t="s">
        <v>821</v>
      </c>
      <c r="F77" s="2" t="s">
        <v>717</v>
      </c>
      <c r="G77" s="2" t="s">
        <v>718</v>
      </c>
      <c r="H77" s="2" t="s">
        <v>719</v>
      </c>
      <c r="I77" s="2" t="s">
        <v>720</v>
      </c>
      <c r="J77" s="2" t="s">
        <v>37</v>
      </c>
      <c r="K77" s="2" t="s">
        <v>662</v>
      </c>
      <c r="L77" s="2" t="s">
        <v>662</v>
      </c>
      <c r="M77" s="2" t="s">
        <v>662</v>
      </c>
    </row>
    <row r="78">
      <c r="A78" s="3">
        <v>1.0</v>
      </c>
      <c r="B78" s="3">
        <v>23.0</v>
      </c>
      <c r="C78" s="2" t="s">
        <v>316</v>
      </c>
      <c r="D78" s="1" t="s">
        <v>159</v>
      </c>
      <c r="E78" s="6" t="s">
        <v>933</v>
      </c>
      <c r="F78" s="2" t="s">
        <v>723</v>
      </c>
      <c r="G78" s="2" t="s">
        <v>724</v>
      </c>
      <c r="H78" s="2" t="s">
        <v>725</v>
      </c>
      <c r="I78" s="2" t="s">
        <v>726</v>
      </c>
      <c r="J78" s="2" t="s">
        <v>20</v>
      </c>
      <c r="K78" s="2" t="s">
        <v>662</v>
      </c>
      <c r="L78" s="2" t="s">
        <v>662</v>
      </c>
      <c r="M78" s="2" t="s">
        <v>662</v>
      </c>
    </row>
    <row r="79">
      <c r="A79" s="3">
        <v>1.0</v>
      </c>
      <c r="B79" s="3">
        <v>24.0</v>
      </c>
      <c r="C79" s="2" t="s">
        <v>316</v>
      </c>
      <c r="D79" s="1" t="s">
        <v>159</v>
      </c>
      <c r="E79" s="2" t="s">
        <v>830</v>
      </c>
      <c r="F79" s="1" t="s">
        <v>159</v>
      </c>
      <c r="G79" s="1" t="s">
        <v>159</v>
      </c>
      <c r="H79" s="1" t="s">
        <v>159</v>
      </c>
      <c r="I79" s="1" t="s">
        <v>159</v>
      </c>
      <c r="J79" s="2">
        <v>10.0</v>
      </c>
      <c r="K79" s="2" t="s">
        <v>662</v>
      </c>
      <c r="L79" s="2" t="s">
        <v>662</v>
      </c>
      <c r="M79" s="2" t="s">
        <v>662</v>
      </c>
    </row>
    <row r="80">
      <c r="A80" s="3">
        <v>1.0</v>
      </c>
      <c r="B80" s="3">
        <v>25.0</v>
      </c>
      <c r="C80" s="2" t="s">
        <v>316</v>
      </c>
      <c r="D80" s="2" t="s">
        <v>730</v>
      </c>
      <c r="E80" s="2" t="s">
        <v>832</v>
      </c>
      <c r="F80" s="2" t="s">
        <v>732</v>
      </c>
      <c r="G80" s="2" t="s">
        <v>733</v>
      </c>
      <c r="H80" s="2" t="s">
        <v>734</v>
      </c>
      <c r="I80" s="2" t="s">
        <v>735</v>
      </c>
      <c r="J80" s="2" t="s">
        <v>20</v>
      </c>
      <c r="K80" s="2" t="s">
        <v>662</v>
      </c>
      <c r="L80" s="2" t="s">
        <v>662</v>
      </c>
      <c r="M80" s="2" t="s">
        <v>662</v>
      </c>
    </row>
    <row r="81">
      <c r="A81" s="3">
        <v>1.0</v>
      </c>
      <c r="B81" s="3">
        <v>26.0</v>
      </c>
      <c r="C81" s="2" t="s">
        <v>316</v>
      </c>
      <c r="D81" s="4" t="s">
        <v>935</v>
      </c>
      <c r="E81" s="2" t="s">
        <v>696</v>
      </c>
      <c r="F81" s="1" t="str">
        <f>IMAGE("https://lh3.googleusercontent.com/d/1Ep8XQ_VPFUlRUuONVq_ut5c7YKR5ERZs")</f>
        <v/>
      </c>
      <c r="G81" s="1" t="str">
        <f>IMAGE("https://lh3.googleusercontent.com/d/1S621VobCqYuasIEb__nws-Kz_9lctFjq")</f>
        <v/>
      </c>
      <c r="H81" s="1" t="str">
        <f>IMAGE("https://lh3.googleusercontent.com/d/1_oSNnyW-DXddAp5Eiuor5FNdOV6IwveQ")</f>
        <v/>
      </c>
      <c r="I81" s="1" t="str">
        <f>IMAGE("https://lh3.googleusercontent.com/d/1kn_li-2Lx17-mAOyA36FF_xNCx0JNhCT")</f>
        <v/>
      </c>
      <c r="J81" s="2" t="s">
        <v>26</v>
      </c>
      <c r="K81" s="2" t="s">
        <v>662</v>
      </c>
      <c r="L81" s="2" t="s">
        <v>662</v>
      </c>
      <c r="M81" s="2" t="s">
        <v>662</v>
      </c>
    </row>
    <row r="82">
      <c r="A82" s="3">
        <v>1.0</v>
      </c>
      <c r="B82" s="3">
        <v>27.0</v>
      </c>
      <c r="C82" s="2" t="s">
        <v>316</v>
      </c>
      <c r="D82" s="6" t="s">
        <v>936</v>
      </c>
      <c r="E82" s="2" t="s">
        <v>741</v>
      </c>
      <c r="F82" s="2">
        <v>1.0</v>
      </c>
      <c r="G82" s="2">
        <v>9.0</v>
      </c>
      <c r="H82" s="2">
        <v>15.0</v>
      </c>
      <c r="I82" s="2">
        <v>21.0</v>
      </c>
      <c r="J82" s="2">
        <v>15.0</v>
      </c>
      <c r="K82" s="2" t="s">
        <v>662</v>
      </c>
      <c r="L82" s="2" t="s">
        <v>662</v>
      </c>
      <c r="M82" s="2" t="s">
        <v>662</v>
      </c>
    </row>
    <row r="83">
      <c r="A83" s="3">
        <v>2.0</v>
      </c>
      <c r="B83" s="3">
        <v>1.0</v>
      </c>
      <c r="C83" s="2" t="s">
        <v>316</v>
      </c>
      <c r="D83" s="1" t="s">
        <v>159</v>
      </c>
      <c r="E83" s="2" t="s">
        <v>842</v>
      </c>
      <c r="F83" s="1" t="s">
        <v>159</v>
      </c>
      <c r="G83" s="1" t="s">
        <v>159</v>
      </c>
      <c r="H83" s="1" t="s">
        <v>159</v>
      </c>
      <c r="I83" s="1" t="s">
        <v>159</v>
      </c>
      <c r="J83" s="2">
        <v>211.0</v>
      </c>
      <c r="K83" s="2" t="s">
        <v>662</v>
      </c>
      <c r="L83" s="2" t="s">
        <v>662</v>
      </c>
      <c r="M83" s="2" t="s">
        <v>662</v>
      </c>
    </row>
    <row r="84">
      <c r="A84" s="3">
        <v>2.0</v>
      </c>
      <c r="B84" s="3">
        <v>2.0</v>
      </c>
      <c r="C84" s="2" t="s">
        <v>316</v>
      </c>
      <c r="D84" s="2" t="s">
        <v>844</v>
      </c>
      <c r="E84" s="2" t="s">
        <v>696</v>
      </c>
      <c r="F84" s="1" t="s">
        <v>159</v>
      </c>
      <c r="G84" s="1" t="s">
        <v>159</v>
      </c>
      <c r="H84" s="1" t="s">
        <v>159</v>
      </c>
      <c r="I84" s="1" t="s">
        <v>159</v>
      </c>
      <c r="J84" s="2" t="s">
        <v>845</v>
      </c>
      <c r="K84" s="2" t="s">
        <v>662</v>
      </c>
      <c r="L84" s="2" t="s">
        <v>662</v>
      </c>
      <c r="M84" s="2" t="s">
        <v>662</v>
      </c>
    </row>
    <row r="85">
      <c r="A85" s="3">
        <v>2.0</v>
      </c>
      <c r="B85" s="3">
        <v>3.0</v>
      </c>
      <c r="C85" s="2" t="s">
        <v>316</v>
      </c>
      <c r="D85" s="1" t="s">
        <v>159</v>
      </c>
      <c r="E85" s="2" t="s">
        <v>847</v>
      </c>
      <c r="F85" s="2" t="s">
        <v>848</v>
      </c>
      <c r="G85" s="2" t="s">
        <v>849</v>
      </c>
      <c r="H85" s="2" t="s">
        <v>850</v>
      </c>
      <c r="I85" s="2" t="s">
        <v>851</v>
      </c>
      <c r="J85" s="2" t="s">
        <v>20</v>
      </c>
      <c r="K85" s="2" t="s">
        <v>662</v>
      </c>
      <c r="L85" s="2" t="s">
        <v>662</v>
      </c>
      <c r="M85" s="2" t="s">
        <v>662</v>
      </c>
    </row>
    <row r="86">
      <c r="A86" s="3">
        <v>2.0</v>
      </c>
      <c r="B86" s="3">
        <v>4.0</v>
      </c>
      <c r="C86" s="2" t="s">
        <v>316</v>
      </c>
      <c r="D86" s="2" t="s">
        <v>749</v>
      </c>
      <c r="E86" s="2" t="s">
        <v>750</v>
      </c>
      <c r="F86" s="2" t="s">
        <v>853</v>
      </c>
      <c r="G86" s="2" t="s">
        <v>854</v>
      </c>
      <c r="H86" s="2" t="s">
        <v>753</v>
      </c>
      <c r="I86" s="2" t="s">
        <v>754</v>
      </c>
      <c r="J86" s="2" t="s">
        <v>37</v>
      </c>
      <c r="K86" s="2" t="s">
        <v>662</v>
      </c>
      <c r="L86" s="2" t="s">
        <v>662</v>
      </c>
      <c r="M86" s="2" t="s">
        <v>662</v>
      </c>
    </row>
    <row r="87">
      <c r="A87" s="3">
        <v>2.0</v>
      </c>
      <c r="B87" s="3">
        <v>5.0</v>
      </c>
      <c r="C87" s="2" t="s">
        <v>316</v>
      </c>
      <c r="D87" s="1" t="s">
        <v>159</v>
      </c>
      <c r="E87" s="2" t="s">
        <v>755</v>
      </c>
      <c r="F87" s="2">
        <v>3.0</v>
      </c>
      <c r="G87" s="2">
        <v>7.0</v>
      </c>
      <c r="H87" s="2">
        <v>32.0</v>
      </c>
      <c r="I87" s="2">
        <v>40.0</v>
      </c>
      <c r="J87" s="2" t="s">
        <v>41</v>
      </c>
      <c r="K87" s="2" t="s">
        <v>662</v>
      </c>
      <c r="L87" s="2" t="s">
        <v>662</v>
      </c>
      <c r="M87" s="2" t="s">
        <v>662</v>
      </c>
    </row>
    <row r="88">
      <c r="A88" s="3">
        <v>2.0</v>
      </c>
      <c r="B88" s="3">
        <v>6.0</v>
      </c>
      <c r="C88" s="2" t="s">
        <v>316</v>
      </c>
      <c r="D88" s="2" t="s">
        <v>858</v>
      </c>
      <c r="E88" s="2" t="s">
        <v>758</v>
      </c>
      <c r="F88" s="2">
        <v>39.17</v>
      </c>
      <c r="G88" s="2">
        <v>48.0</v>
      </c>
      <c r="H88" s="2">
        <v>52.22</v>
      </c>
      <c r="I88" s="2">
        <v>72.33</v>
      </c>
      <c r="J88" s="2">
        <v>39.17</v>
      </c>
      <c r="K88" s="2" t="s">
        <v>662</v>
      </c>
      <c r="L88" s="2" t="s">
        <v>662</v>
      </c>
      <c r="M88" s="2" t="s">
        <v>662</v>
      </c>
    </row>
    <row r="89">
      <c r="A89" s="3">
        <v>2.0</v>
      </c>
      <c r="B89" s="3">
        <v>7.0</v>
      </c>
      <c r="C89" s="2" t="s">
        <v>316</v>
      </c>
      <c r="D89" s="6" t="s">
        <v>939</v>
      </c>
      <c r="E89" s="2" t="s">
        <v>696</v>
      </c>
      <c r="F89" s="1" t="s">
        <v>159</v>
      </c>
      <c r="G89" s="1" t="s">
        <v>159</v>
      </c>
      <c r="H89" s="1" t="s">
        <v>159</v>
      </c>
      <c r="I89" s="1" t="s">
        <v>159</v>
      </c>
      <c r="J89" s="2" t="s">
        <v>26</v>
      </c>
      <c r="K89" s="2" t="s">
        <v>662</v>
      </c>
      <c r="L89" s="2" t="s">
        <v>662</v>
      </c>
      <c r="M89" s="2" t="s">
        <v>662</v>
      </c>
    </row>
    <row r="90">
      <c r="A90" s="3">
        <v>2.0</v>
      </c>
      <c r="B90" s="3">
        <v>8.0</v>
      </c>
      <c r="C90" s="2" t="s">
        <v>316</v>
      </c>
      <c r="D90" s="2" t="s">
        <v>696</v>
      </c>
      <c r="E90" s="2" t="s">
        <v>863</v>
      </c>
      <c r="F90" s="1" t="s">
        <v>159</v>
      </c>
      <c r="G90" s="1" t="s">
        <v>159</v>
      </c>
      <c r="H90" s="1" t="s">
        <v>159</v>
      </c>
      <c r="I90" s="1" t="s">
        <v>159</v>
      </c>
      <c r="J90" s="2" t="s">
        <v>41</v>
      </c>
      <c r="K90" s="2" t="s">
        <v>662</v>
      </c>
      <c r="L90" s="2" t="s">
        <v>662</v>
      </c>
      <c r="M90" s="2" t="s">
        <v>662</v>
      </c>
    </row>
    <row r="91">
      <c r="A91" s="3">
        <v>2.0</v>
      </c>
      <c r="B91" s="3">
        <v>9.0</v>
      </c>
      <c r="C91" s="2" t="s">
        <v>316</v>
      </c>
      <c r="D91" s="1" t="s">
        <v>159</v>
      </c>
      <c r="E91" s="2" t="s">
        <v>865</v>
      </c>
      <c r="F91" s="1" t="s">
        <v>159</v>
      </c>
      <c r="G91" s="1" t="s">
        <v>159</v>
      </c>
      <c r="H91" s="1" t="s">
        <v>159</v>
      </c>
      <c r="I91" s="1" t="s">
        <v>159</v>
      </c>
      <c r="J91" s="2">
        <v>26.0</v>
      </c>
      <c r="K91" s="2" t="s">
        <v>662</v>
      </c>
      <c r="L91" s="2" t="s">
        <v>662</v>
      </c>
      <c r="M91" s="2" t="s">
        <v>662</v>
      </c>
    </row>
    <row r="92">
      <c r="A92" s="3">
        <v>2.0</v>
      </c>
      <c r="B92" s="3">
        <v>10.0</v>
      </c>
      <c r="C92" s="2" t="s">
        <v>316</v>
      </c>
      <c r="D92" s="6" t="s">
        <v>941</v>
      </c>
      <c r="E92" s="2" t="s">
        <v>762</v>
      </c>
      <c r="F92" s="2">
        <v>34.0</v>
      </c>
      <c r="G92" s="2">
        <v>16.0</v>
      </c>
      <c r="H92" s="2">
        <v>15.0</v>
      </c>
      <c r="I92" s="2">
        <v>8.0</v>
      </c>
      <c r="J92" s="2" t="s">
        <v>26</v>
      </c>
      <c r="K92" s="2" t="s">
        <v>662</v>
      </c>
      <c r="L92" s="2" t="s">
        <v>662</v>
      </c>
      <c r="M92" s="2" t="s">
        <v>662</v>
      </c>
    </row>
    <row r="93">
      <c r="A93" s="3">
        <v>2.0</v>
      </c>
      <c r="B93" s="3">
        <v>11.0</v>
      </c>
      <c r="C93" s="2" t="s">
        <v>316</v>
      </c>
      <c r="D93" s="2" t="s">
        <v>869</v>
      </c>
      <c r="E93" s="2" t="s">
        <v>871</v>
      </c>
      <c r="F93" s="2">
        <v>9.0</v>
      </c>
      <c r="G93" s="2">
        <v>7.0</v>
      </c>
      <c r="H93" s="2">
        <v>5.0</v>
      </c>
      <c r="I93" s="2">
        <v>1.0</v>
      </c>
      <c r="J93" s="2" t="s">
        <v>41</v>
      </c>
      <c r="K93" s="2" t="s">
        <v>662</v>
      </c>
      <c r="L93" s="2" t="s">
        <v>662</v>
      </c>
      <c r="M93" s="2" t="s">
        <v>662</v>
      </c>
    </row>
    <row r="94">
      <c r="A94" s="3">
        <v>2.0</v>
      </c>
      <c r="B94" s="3">
        <v>12.0</v>
      </c>
      <c r="C94" s="2" t="s">
        <v>316</v>
      </c>
      <c r="D94" s="6" t="s">
        <v>942</v>
      </c>
      <c r="E94" s="2" t="s">
        <v>875</v>
      </c>
      <c r="F94" s="8">
        <v>46227.0</v>
      </c>
      <c r="G94" s="2" t="s">
        <v>765</v>
      </c>
      <c r="H94" s="2">
        <v>17.0</v>
      </c>
      <c r="I94" s="2">
        <v>31.0</v>
      </c>
      <c r="J94" s="2" t="s">
        <v>41</v>
      </c>
      <c r="K94" s="2" t="s">
        <v>662</v>
      </c>
      <c r="L94" s="2" t="s">
        <v>662</v>
      </c>
      <c r="M94" s="2" t="s">
        <v>662</v>
      </c>
    </row>
    <row r="95">
      <c r="A95" s="3">
        <v>2.0</v>
      </c>
      <c r="B95" s="3">
        <v>13.0</v>
      </c>
      <c r="C95" s="2" t="s">
        <v>316</v>
      </c>
      <c r="D95" s="2" t="s">
        <v>766</v>
      </c>
      <c r="E95" s="2" t="s">
        <v>877</v>
      </c>
      <c r="F95" s="1" t="s">
        <v>159</v>
      </c>
      <c r="G95" s="1" t="s">
        <v>159</v>
      </c>
      <c r="H95" s="1" t="s">
        <v>159</v>
      </c>
      <c r="I95" s="1" t="s">
        <v>159</v>
      </c>
      <c r="J95" s="2">
        <v>11.0</v>
      </c>
      <c r="K95" s="2" t="s">
        <v>662</v>
      </c>
      <c r="L95" s="2" t="s">
        <v>662</v>
      </c>
      <c r="M95" s="2" t="s">
        <v>662</v>
      </c>
    </row>
    <row r="96">
      <c r="A96" s="3">
        <v>2.0</v>
      </c>
      <c r="B96" s="3">
        <v>14.0</v>
      </c>
      <c r="C96" s="2" t="s">
        <v>316</v>
      </c>
      <c r="D96" s="2" t="s">
        <v>879</v>
      </c>
      <c r="E96" s="2" t="s">
        <v>880</v>
      </c>
      <c r="F96" s="2" t="s">
        <v>881</v>
      </c>
      <c r="G96" s="2" t="s">
        <v>882</v>
      </c>
      <c r="H96" s="2" t="s">
        <v>885</v>
      </c>
      <c r="I96" s="2" t="s">
        <v>886</v>
      </c>
      <c r="J96" s="2" t="s">
        <v>26</v>
      </c>
      <c r="K96" s="2" t="s">
        <v>662</v>
      </c>
      <c r="L96" s="2" t="s">
        <v>662</v>
      </c>
      <c r="M96" s="2" t="s">
        <v>662</v>
      </c>
    </row>
    <row r="97">
      <c r="A97" s="3">
        <v>2.0</v>
      </c>
      <c r="B97" s="3">
        <v>15.0</v>
      </c>
      <c r="C97" s="2" t="s">
        <v>316</v>
      </c>
      <c r="D97" s="1" t="s">
        <v>159</v>
      </c>
      <c r="E97" s="2" t="s">
        <v>887</v>
      </c>
      <c r="F97" s="1" t="s">
        <v>159</v>
      </c>
      <c r="G97" s="1" t="s">
        <v>159</v>
      </c>
      <c r="H97" s="1" t="s">
        <v>159</v>
      </c>
      <c r="I97" s="1" t="s">
        <v>159</v>
      </c>
      <c r="J97" s="6" t="s">
        <v>956</v>
      </c>
    </row>
    <row r="98">
      <c r="A98" s="3">
        <v>2.0</v>
      </c>
      <c r="B98" s="3">
        <v>16.0</v>
      </c>
      <c r="C98" s="2" t="s">
        <v>316</v>
      </c>
      <c r="D98" s="1" t="s">
        <v>159</v>
      </c>
      <c r="E98" s="2" t="s">
        <v>777</v>
      </c>
      <c r="F98" s="2" t="s">
        <v>890</v>
      </c>
      <c r="G98" s="2" t="s">
        <v>891</v>
      </c>
      <c r="H98" s="2" t="s">
        <v>892</v>
      </c>
      <c r="I98" s="2" t="s">
        <v>893</v>
      </c>
      <c r="J98" s="2" t="s">
        <v>20</v>
      </c>
    </row>
    <row r="99">
      <c r="A99" s="3">
        <v>2.0</v>
      </c>
      <c r="B99" s="3">
        <v>17.0</v>
      </c>
      <c r="C99" s="2" t="s">
        <v>316</v>
      </c>
      <c r="D99" s="1" t="s">
        <v>159</v>
      </c>
      <c r="E99" s="2" t="s">
        <v>783</v>
      </c>
      <c r="F99" s="2">
        <v>5.0</v>
      </c>
      <c r="G99" s="2">
        <v>4.0</v>
      </c>
      <c r="H99" s="2">
        <v>0.0</v>
      </c>
      <c r="I99" s="2">
        <v>-4.0</v>
      </c>
      <c r="J99" s="2" t="s">
        <v>41</v>
      </c>
    </row>
    <row r="100">
      <c r="A100" s="3">
        <v>2.0</v>
      </c>
      <c r="B100" s="3">
        <v>18.0</v>
      </c>
    </row>
    <row r="101">
      <c r="A101" s="3">
        <v>2.0</v>
      </c>
      <c r="B101" s="3">
        <v>19.0</v>
      </c>
    </row>
    <row r="102">
      <c r="A102" s="3">
        <v>2.0</v>
      </c>
      <c r="B102" s="3">
        <v>20.0</v>
      </c>
    </row>
    <row r="103">
      <c r="A103" s="3">
        <v>2.0</v>
      </c>
      <c r="B103" s="3">
        <v>21.0</v>
      </c>
    </row>
    <row r="104">
      <c r="A104" s="3">
        <v>2.0</v>
      </c>
      <c r="B104" s="3">
        <v>22.0</v>
      </c>
    </row>
    <row r="105">
      <c r="A105" s="3">
        <v>2.0</v>
      </c>
      <c r="B105" s="3">
        <v>23.0</v>
      </c>
    </row>
    <row r="106">
      <c r="A106" s="3">
        <v>2.0</v>
      </c>
      <c r="B106" s="3">
        <v>24.0</v>
      </c>
    </row>
    <row r="107">
      <c r="A107" s="3">
        <v>2.0</v>
      </c>
      <c r="B107" s="3">
        <v>25.0</v>
      </c>
    </row>
    <row r="108">
      <c r="A108" s="3">
        <v>2.0</v>
      </c>
      <c r="B108" s="3">
        <v>26.0</v>
      </c>
    </row>
    <row r="109">
      <c r="A109" s="3">
        <v>2.0</v>
      </c>
      <c r="B109" s="3">
        <v>27.0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c r="C1" s="2" t="s">
        <v>2</v>
      </c>
      <c r="D1" s="2" t="s">
        <v>3</v>
      </c>
      <c r="E1" s="2" t="s">
        <v>4</v>
      </c>
      <c r="F1" s="2" t="s">
        <v>5</v>
      </c>
      <c r="G1" s="2" t="s">
        <v>6</v>
      </c>
      <c r="H1" s="2" t="s">
        <v>7</v>
      </c>
      <c r="I1" s="2" t="s">
        <v>8</v>
      </c>
      <c r="J1" s="2" t="s">
        <v>9</v>
      </c>
      <c r="K1" s="2" t="s">
        <v>10</v>
      </c>
      <c r="L1" s="2" t="s">
        <v>11</v>
      </c>
      <c r="M1" s="2" t="s">
        <v>12</v>
      </c>
    </row>
    <row r="2">
      <c r="A2" s="3">
        <v>1.0</v>
      </c>
      <c r="B2" s="3">
        <v>1.0</v>
      </c>
      <c r="C2" s="2" t="s">
        <v>13</v>
      </c>
      <c r="D2" s="2" t="s">
        <v>388</v>
      </c>
      <c r="E2" s="2" t="s">
        <v>15</v>
      </c>
      <c r="F2" s="2" t="s">
        <v>220</v>
      </c>
      <c r="G2" s="2" t="s">
        <v>221</v>
      </c>
      <c r="H2" s="2" t="s">
        <v>222</v>
      </c>
      <c r="I2" s="2" t="s">
        <v>223</v>
      </c>
      <c r="J2" s="2" t="s">
        <v>20</v>
      </c>
      <c r="K2" s="2" t="s">
        <v>33</v>
      </c>
      <c r="L2" s="2" t="s">
        <v>22</v>
      </c>
      <c r="M2" s="2" t="s">
        <v>23</v>
      </c>
    </row>
    <row r="3">
      <c r="A3" s="3">
        <v>1.0</v>
      </c>
      <c r="B3" s="3">
        <v>2.0</v>
      </c>
      <c r="C3" s="2" t="s">
        <v>13</v>
      </c>
      <c r="D3" s="2" t="s">
        <v>400</v>
      </c>
      <c r="E3" s="2" t="s">
        <v>228</v>
      </c>
      <c r="F3" s="2" t="s">
        <v>230</v>
      </c>
      <c r="G3" s="2" t="s">
        <v>231</v>
      </c>
      <c r="H3" s="2" t="s">
        <v>233</v>
      </c>
      <c r="I3" s="2" t="s">
        <v>234</v>
      </c>
      <c r="J3" s="2" t="s">
        <v>41</v>
      </c>
      <c r="K3" s="2" t="s">
        <v>81</v>
      </c>
      <c r="L3" s="2" t="s">
        <v>22</v>
      </c>
      <c r="M3" s="2" t="s">
        <v>23</v>
      </c>
    </row>
    <row r="4">
      <c r="A4" s="3">
        <v>1.0</v>
      </c>
      <c r="B4" s="3">
        <v>3.0</v>
      </c>
      <c r="C4" s="2" t="s">
        <v>13</v>
      </c>
      <c r="D4" s="2" t="s">
        <v>236</v>
      </c>
      <c r="E4" s="2" t="s">
        <v>15</v>
      </c>
      <c r="F4" s="2" t="s">
        <v>237</v>
      </c>
      <c r="G4" s="2" t="s">
        <v>239</v>
      </c>
      <c r="H4" s="2" t="s">
        <v>240</v>
      </c>
      <c r="I4" s="2" t="s">
        <v>242</v>
      </c>
      <c r="J4" s="2" t="s">
        <v>20</v>
      </c>
      <c r="K4" s="2" t="s">
        <v>33</v>
      </c>
      <c r="L4" s="2" t="s">
        <v>22</v>
      </c>
      <c r="M4" s="2" t="s">
        <v>23</v>
      </c>
    </row>
    <row r="5">
      <c r="A5" s="3">
        <v>1.0</v>
      </c>
      <c r="B5" s="3">
        <v>4.0</v>
      </c>
      <c r="C5" s="2" t="s">
        <v>13</v>
      </c>
      <c r="D5" s="2" t="s">
        <v>421</v>
      </c>
      <c r="E5" s="2" t="s">
        <v>15</v>
      </c>
      <c r="F5" s="2" t="s">
        <v>248</v>
      </c>
      <c r="G5" s="2" t="s">
        <v>249</v>
      </c>
      <c r="H5" s="2" t="s">
        <v>250</v>
      </c>
      <c r="I5" s="2" t="s">
        <v>251</v>
      </c>
      <c r="J5" s="2" t="s">
        <v>251</v>
      </c>
      <c r="K5" s="2" t="s">
        <v>21</v>
      </c>
      <c r="L5" s="2" t="s">
        <v>22</v>
      </c>
      <c r="M5" s="2" t="s">
        <v>43</v>
      </c>
    </row>
    <row r="6">
      <c r="A6" s="3">
        <v>1.0</v>
      </c>
      <c r="B6" s="3">
        <v>5.0</v>
      </c>
      <c r="C6" s="2" t="s">
        <v>13</v>
      </c>
      <c r="D6" s="4" t="s">
        <v>940</v>
      </c>
      <c r="E6" s="2" t="s">
        <v>259</v>
      </c>
      <c r="F6" s="2" t="s">
        <v>260</v>
      </c>
      <c r="G6" s="2" t="s">
        <v>261</v>
      </c>
      <c r="H6" s="2" t="s">
        <v>262</v>
      </c>
      <c r="I6" s="2" t="s">
        <v>263</v>
      </c>
      <c r="J6" s="2" t="s">
        <v>262</v>
      </c>
      <c r="K6" s="2" t="s">
        <v>81</v>
      </c>
      <c r="L6" s="2" t="s">
        <v>22</v>
      </c>
      <c r="M6" s="2" t="s">
        <v>23</v>
      </c>
    </row>
    <row r="7">
      <c r="A7" s="3">
        <v>1.0</v>
      </c>
      <c r="B7" s="3">
        <v>6.0</v>
      </c>
      <c r="C7" s="2" t="s">
        <v>13</v>
      </c>
      <c r="D7" s="2" t="s">
        <v>264</v>
      </c>
      <c r="E7" s="2" t="s">
        <v>75</v>
      </c>
      <c r="F7" s="2" t="s">
        <v>267</v>
      </c>
      <c r="G7" s="2" t="s">
        <v>269</v>
      </c>
      <c r="H7" s="2" t="s">
        <v>270</v>
      </c>
      <c r="I7" s="2" t="s">
        <v>272</v>
      </c>
      <c r="J7" s="2" t="s">
        <v>269</v>
      </c>
      <c r="K7" s="2" t="s">
        <v>42</v>
      </c>
      <c r="L7" s="2" t="s">
        <v>82</v>
      </c>
      <c r="M7" s="2" t="s">
        <v>23</v>
      </c>
    </row>
    <row r="8">
      <c r="A8" s="3">
        <v>1.0</v>
      </c>
      <c r="B8" s="3">
        <v>7.0</v>
      </c>
      <c r="C8" s="2" t="s">
        <v>13</v>
      </c>
      <c r="D8" s="2" t="s">
        <v>275</v>
      </c>
      <c r="E8" s="2" t="s">
        <v>75</v>
      </c>
      <c r="F8" s="2" t="s">
        <v>462</v>
      </c>
      <c r="G8" s="2" t="s">
        <v>464</v>
      </c>
      <c r="H8" s="2" t="s">
        <v>467</v>
      </c>
      <c r="I8" s="2" t="s">
        <v>470</v>
      </c>
      <c r="J8" s="2" t="s">
        <v>464</v>
      </c>
      <c r="K8" s="2" t="s">
        <v>42</v>
      </c>
      <c r="L8" s="2" t="s">
        <v>82</v>
      </c>
      <c r="M8" s="2" t="s">
        <v>23</v>
      </c>
    </row>
    <row r="9">
      <c r="A9" s="3">
        <v>1.0</v>
      </c>
      <c r="B9" s="3">
        <v>8.0</v>
      </c>
      <c r="C9" s="2" t="s">
        <v>13</v>
      </c>
      <c r="D9" s="2" t="s">
        <v>281</v>
      </c>
      <c r="E9" s="2" t="s">
        <v>86</v>
      </c>
      <c r="F9" s="2" t="s">
        <v>284</v>
      </c>
      <c r="G9" s="2" t="s">
        <v>286</v>
      </c>
      <c r="H9" s="2" t="s">
        <v>287</v>
      </c>
      <c r="I9" s="2" t="s">
        <v>288</v>
      </c>
      <c r="J9" s="2" t="s">
        <v>26</v>
      </c>
      <c r="K9" s="2" t="s">
        <v>33</v>
      </c>
      <c r="L9" s="2" t="s">
        <v>82</v>
      </c>
      <c r="M9" s="2" t="s">
        <v>92</v>
      </c>
    </row>
    <row r="10">
      <c r="A10" s="3">
        <v>1.0</v>
      </c>
      <c r="B10" s="3">
        <v>9.0</v>
      </c>
      <c r="C10" s="2" t="s">
        <v>13</v>
      </c>
      <c r="D10" s="2" t="s">
        <v>289</v>
      </c>
      <c r="E10" s="2" t="s">
        <v>290</v>
      </c>
      <c r="F10" s="2" t="s">
        <v>292</v>
      </c>
      <c r="G10" s="2" t="s">
        <v>293</v>
      </c>
      <c r="H10" s="2" t="s">
        <v>294</v>
      </c>
      <c r="I10" s="2" t="s">
        <v>296</v>
      </c>
      <c r="J10" s="2" t="s">
        <v>41</v>
      </c>
      <c r="K10" s="2" t="s">
        <v>81</v>
      </c>
      <c r="L10" s="2" t="s">
        <v>112</v>
      </c>
      <c r="M10" s="2" t="s">
        <v>23</v>
      </c>
    </row>
    <row r="11">
      <c r="A11" s="3">
        <v>1.0</v>
      </c>
      <c r="B11" s="3">
        <v>10.0</v>
      </c>
      <c r="C11" s="2" t="s">
        <v>13</v>
      </c>
      <c r="D11" s="2" t="s">
        <v>493</v>
      </c>
      <c r="E11" s="2" t="s">
        <v>301</v>
      </c>
      <c r="F11" s="2" t="s">
        <v>302</v>
      </c>
      <c r="G11" s="2" t="s">
        <v>303</v>
      </c>
      <c r="H11" s="2" t="s">
        <v>304</v>
      </c>
      <c r="I11" s="2" t="s">
        <v>305</v>
      </c>
      <c r="J11" s="2" t="s">
        <v>41</v>
      </c>
      <c r="K11" s="2" t="s">
        <v>33</v>
      </c>
      <c r="L11" s="2" t="s">
        <v>136</v>
      </c>
      <c r="M11" s="2" t="s">
        <v>23</v>
      </c>
    </row>
    <row r="12">
      <c r="A12" s="3">
        <v>1.0</v>
      </c>
      <c r="B12" s="3">
        <v>11.0</v>
      </c>
      <c r="C12" s="2" t="s">
        <v>13</v>
      </c>
      <c r="D12" s="2" t="s">
        <v>503</v>
      </c>
      <c r="E12" s="2" t="s">
        <v>308</v>
      </c>
      <c r="F12" s="2" t="s">
        <v>309</v>
      </c>
      <c r="G12" s="2" t="s">
        <v>310</v>
      </c>
      <c r="H12" s="2" t="s">
        <v>311</v>
      </c>
      <c r="I12" s="2" t="s">
        <v>313</v>
      </c>
      <c r="J12" s="2" t="s">
        <v>41</v>
      </c>
      <c r="K12" s="2" t="s">
        <v>81</v>
      </c>
      <c r="L12" s="2" t="s">
        <v>136</v>
      </c>
      <c r="M12" s="2" t="s">
        <v>23</v>
      </c>
    </row>
    <row r="13">
      <c r="A13" s="3">
        <v>1.0</v>
      </c>
      <c r="B13" s="3">
        <v>12.0</v>
      </c>
      <c r="C13" s="2" t="s">
        <v>13</v>
      </c>
      <c r="D13" s="2" t="s">
        <v>524</v>
      </c>
      <c r="E13" s="2" t="s">
        <v>318</v>
      </c>
      <c r="F13" s="2" t="s">
        <v>319</v>
      </c>
      <c r="G13" s="2" t="s">
        <v>320</v>
      </c>
      <c r="H13" s="2" t="s">
        <v>321</v>
      </c>
      <c r="I13" s="2" t="s">
        <v>322</v>
      </c>
      <c r="J13" s="2" t="s">
        <v>37</v>
      </c>
      <c r="K13" s="2" t="s">
        <v>33</v>
      </c>
      <c r="L13" s="2" t="s">
        <v>136</v>
      </c>
      <c r="M13" s="2" t="s">
        <v>23</v>
      </c>
      <c r="N13" s="7" t="str">
        <f>IMAGE("https://lh3.googleusercontent.com/d/1_N_xMqU1uqlWNPnupBSrn8ml2Kz-kg8K")</f>
        <v/>
      </c>
    </row>
    <row r="14">
      <c r="A14" s="3">
        <v>1.0</v>
      </c>
      <c r="B14" s="3">
        <v>13.0</v>
      </c>
      <c r="C14" s="2" t="s">
        <v>13</v>
      </c>
      <c r="D14" s="2" t="s">
        <v>554</v>
      </c>
      <c r="E14" s="2" t="s">
        <v>558</v>
      </c>
      <c r="F14" s="1" t="s">
        <v>159</v>
      </c>
      <c r="G14" s="1" t="s">
        <v>159</v>
      </c>
      <c r="H14" s="1" t="s">
        <v>159</v>
      </c>
      <c r="I14" s="1" t="s">
        <v>159</v>
      </c>
      <c r="J14" s="2" t="s">
        <v>558</v>
      </c>
      <c r="K14" s="2" t="s">
        <v>329</v>
      </c>
      <c r="L14" s="2" t="s">
        <v>329</v>
      </c>
      <c r="M14" s="2" t="s">
        <v>329</v>
      </c>
    </row>
    <row r="15">
      <c r="A15" s="3">
        <v>1.0</v>
      </c>
      <c r="B15" s="3">
        <v>14.0</v>
      </c>
      <c r="C15" s="2" t="s">
        <v>13</v>
      </c>
      <c r="D15" s="2" t="s">
        <v>331</v>
      </c>
      <c r="E15" s="2" t="s">
        <v>333</v>
      </c>
      <c r="F15" s="1" t="s">
        <v>159</v>
      </c>
      <c r="G15" s="1" t="s">
        <v>159</v>
      </c>
      <c r="H15" s="1" t="s">
        <v>159</v>
      </c>
      <c r="I15" s="1" t="s">
        <v>159</v>
      </c>
      <c r="J15" s="2" t="s">
        <v>26</v>
      </c>
      <c r="K15" s="2" t="s">
        <v>42</v>
      </c>
      <c r="L15" s="2" t="s">
        <v>136</v>
      </c>
      <c r="M15" s="2" t="s">
        <v>92</v>
      </c>
    </row>
    <row r="16">
      <c r="A16" s="3">
        <v>1.0</v>
      </c>
      <c r="B16" s="3">
        <v>15.0</v>
      </c>
      <c r="C16" s="2" t="s">
        <v>13</v>
      </c>
      <c r="D16" s="2" t="s">
        <v>574</v>
      </c>
      <c r="E16" s="2" t="s">
        <v>161</v>
      </c>
      <c r="F16" s="2" t="s">
        <v>338</v>
      </c>
      <c r="G16" s="2" t="s">
        <v>339</v>
      </c>
      <c r="H16" s="2" t="s">
        <v>340</v>
      </c>
      <c r="I16" s="2" t="s">
        <v>342</v>
      </c>
      <c r="J16" s="2" t="s">
        <v>37</v>
      </c>
      <c r="K16" s="2" t="s">
        <v>21</v>
      </c>
      <c r="L16" s="2" t="s">
        <v>166</v>
      </c>
      <c r="M16" s="2" t="s">
        <v>23</v>
      </c>
    </row>
    <row r="17">
      <c r="A17" s="3">
        <v>1.0</v>
      </c>
      <c r="B17" s="3">
        <v>16.0</v>
      </c>
      <c r="C17" s="2" t="s">
        <v>13</v>
      </c>
      <c r="D17" s="2" t="s">
        <v>585</v>
      </c>
      <c r="E17" s="2" t="s">
        <v>161</v>
      </c>
      <c r="F17" s="2" t="s">
        <v>348</v>
      </c>
      <c r="G17" s="2" t="s">
        <v>349</v>
      </c>
      <c r="H17" s="2" t="s">
        <v>350</v>
      </c>
      <c r="I17" s="2" t="s">
        <v>351</v>
      </c>
      <c r="J17" s="2" t="s">
        <v>26</v>
      </c>
      <c r="K17" s="2" t="s">
        <v>33</v>
      </c>
      <c r="L17" s="2" t="s">
        <v>166</v>
      </c>
      <c r="M17" s="2" t="s">
        <v>92</v>
      </c>
    </row>
    <row r="18">
      <c r="A18" s="3">
        <v>1.0</v>
      </c>
      <c r="B18" s="3">
        <v>17.0</v>
      </c>
      <c r="C18" s="2" t="s">
        <v>13</v>
      </c>
      <c r="D18" s="2" t="s">
        <v>354</v>
      </c>
      <c r="E18" s="2" t="s">
        <v>168</v>
      </c>
      <c r="F18" s="2" t="s">
        <v>356</v>
      </c>
      <c r="G18" s="2" t="s">
        <v>358</v>
      </c>
      <c r="H18" s="2" t="s">
        <v>359</v>
      </c>
      <c r="I18" s="2" t="s">
        <v>361</v>
      </c>
      <c r="J18" s="2" t="s">
        <v>26</v>
      </c>
      <c r="K18" s="2" t="s">
        <v>21</v>
      </c>
      <c r="L18" s="2" t="s">
        <v>173</v>
      </c>
      <c r="M18" s="2" t="s">
        <v>92</v>
      </c>
    </row>
    <row r="19">
      <c r="A19" s="3">
        <v>1.0</v>
      </c>
      <c r="B19" s="3">
        <v>18.0</v>
      </c>
      <c r="C19" s="2" t="s">
        <v>13</v>
      </c>
      <c r="D19" s="2" t="s">
        <v>364</v>
      </c>
      <c r="E19" s="2" t="s">
        <v>168</v>
      </c>
      <c r="F19" s="2" t="s">
        <v>365</v>
      </c>
      <c r="G19" s="2" t="s">
        <v>366</v>
      </c>
      <c r="H19" s="2" t="s">
        <v>367</v>
      </c>
      <c r="I19" s="2" t="s">
        <v>369</v>
      </c>
      <c r="J19" s="2" t="s">
        <v>20</v>
      </c>
      <c r="K19" s="2" t="s">
        <v>33</v>
      </c>
      <c r="L19" s="2" t="s">
        <v>184</v>
      </c>
      <c r="M19" s="2" t="s">
        <v>23</v>
      </c>
    </row>
    <row r="20">
      <c r="A20" s="3">
        <v>1.0</v>
      </c>
      <c r="B20" s="3">
        <v>19.0</v>
      </c>
      <c r="C20" s="2" t="s">
        <v>13</v>
      </c>
      <c r="D20" s="2" t="s">
        <v>375</v>
      </c>
      <c r="E20" s="2" t="s">
        <v>168</v>
      </c>
      <c r="F20" s="2" t="s">
        <v>376</v>
      </c>
      <c r="G20" s="2" t="s">
        <v>377</v>
      </c>
      <c r="H20" s="2" t="s">
        <v>616</v>
      </c>
      <c r="I20" s="2" t="s">
        <v>379</v>
      </c>
      <c r="J20" s="2" t="s">
        <v>26</v>
      </c>
      <c r="K20" s="2" t="s">
        <v>21</v>
      </c>
      <c r="L20" s="2" t="s">
        <v>184</v>
      </c>
      <c r="M20" s="2" t="s">
        <v>23</v>
      </c>
    </row>
    <row r="21">
      <c r="A21" s="3">
        <v>1.0</v>
      </c>
      <c r="B21" s="3">
        <v>20.0</v>
      </c>
      <c r="C21" s="2" t="s">
        <v>13</v>
      </c>
      <c r="D21" s="2" t="s">
        <v>382</v>
      </c>
      <c r="E21" s="2" t="s">
        <v>168</v>
      </c>
      <c r="F21" s="2" t="s">
        <v>384</v>
      </c>
      <c r="G21" s="2" t="s">
        <v>386</v>
      </c>
      <c r="H21" s="2" t="s">
        <v>387</v>
      </c>
      <c r="I21" s="2" t="s">
        <v>390</v>
      </c>
      <c r="J21" s="2" t="s">
        <v>41</v>
      </c>
      <c r="K21" s="2" t="s">
        <v>33</v>
      </c>
      <c r="L21" s="2" t="s">
        <v>173</v>
      </c>
      <c r="M21" s="2" t="s">
        <v>23</v>
      </c>
    </row>
    <row r="22">
      <c r="A22" s="3">
        <v>1.0</v>
      </c>
      <c r="B22" s="3">
        <v>21.0</v>
      </c>
      <c r="C22" s="2" t="s">
        <v>13</v>
      </c>
      <c r="D22" s="2" t="s">
        <v>392</v>
      </c>
      <c r="E22" s="2" t="s">
        <v>168</v>
      </c>
      <c r="F22" s="2" t="s">
        <v>393</v>
      </c>
      <c r="G22" s="2" t="s">
        <v>395</v>
      </c>
      <c r="H22" s="2" t="s">
        <v>396</v>
      </c>
      <c r="I22" s="2" t="s">
        <v>398</v>
      </c>
      <c r="J22" s="2" t="s">
        <v>41</v>
      </c>
      <c r="K22" s="2" t="s">
        <v>21</v>
      </c>
      <c r="L22" s="2" t="s">
        <v>173</v>
      </c>
      <c r="M22" s="2" t="s">
        <v>43</v>
      </c>
    </row>
    <row r="23">
      <c r="A23" s="3">
        <v>1.0</v>
      </c>
      <c r="B23" s="3">
        <v>22.0</v>
      </c>
      <c r="C23" s="2" t="s">
        <v>13</v>
      </c>
      <c r="D23" s="2" t="s">
        <v>404</v>
      </c>
      <c r="E23" s="2" t="s">
        <v>168</v>
      </c>
      <c r="F23" s="2" t="s">
        <v>405</v>
      </c>
      <c r="G23" s="2" t="s">
        <v>406</v>
      </c>
      <c r="H23" s="2" t="s">
        <v>407</v>
      </c>
      <c r="I23" s="2" t="s">
        <v>408</v>
      </c>
      <c r="J23" s="2" t="s">
        <v>41</v>
      </c>
      <c r="K23" s="2" t="s">
        <v>21</v>
      </c>
      <c r="L23" s="2" t="s">
        <v>184</v>
      </c>
      <c r="M23" s="2" t="s">
        <v>23</v>
      </c>
    </row>
    <row r="24">
      <c r="A24" s="3">
        <v>1.0</v>
      </c>
      <c r="B24" s="3">
        <v>23.0</v>
      </c>
      <c r="C24" s="2" t="s">
        <v>13</v>
      </c>
      <c r="D24" s="2" t="s">
        <v>414</v>
      </c>
      <c r="E24" s="2" t="s">
        <v>196</v>
      </c>
      <c r="F24" s="2" t="s">
        <v>416</v>
      </c>
      <c r="G24" s="2" t="s">
        <v>417</v>
      </c>
      <c r="H24" s="2" t="s">
        <v>418</v>
      </c>
      <c r="I24" s="2" t="s">
        <v>419</v>
      </c>
      <c r="J24" s="2" t="s">
        <v>41</v>
      </c>
      <c r="K24" s="2" t="s">
        <v>420</v>
      </c>
      <c r="L24" s="2" t="s">
        <v>201</v>
      </c>
      <c r="M24" s="2" t="s">
        <v>43</v>
      </c>
    </row>
    <row r="25">
      <c r="A25" s="3">
        <v>1.0</v>
      </c>
      <c r="B25" s="3">
        <v>24.0</v>
      </c>
      <c r="C25" s="2" t="s">
        <v>13</v>
      </c>
      <c r="D25" s="2" t="s">
        <v>422</v>
      </c>
      <c r="E25" s="2" t="s">
        <v>196</v>
      </c>
      <c r="F25" s="2" t="s">
        <v>423</v>
      </c>
      <c r="G25" s="2" t="s">
        <v>424</v>
      </c>
      <c r="H25" s="2" t="s">
        <v>642</v>
      </c>
      <c r="I25" s="2" t="s">
        <v>643</v>
      </c>
      <c r="J25" s="2" t="s">
        <v>20</v>
      </c>
      <c r="K25" s="2" t="s">
        <v>81</v>
      </c>
      <c r="L25" s="2" t="s">
        <v>201</v>
      </c>
      <c r="M25" s="2" t="s">
        <v>92</v>
      </c>
    </row>
    <row r="26">
      <c r="A26" s="3">
        <v>1.0</v>
      </c>
      <c r="B26" s="3">
        <v>25.0</v>
      </c>
      <c r="C26" s="2" t="s">
        <v>13</v>
      </c>
      <c r="D26" s="2" t="s">
        <v>645</v>
      </c>
      <c r="E26" s="2" t="s">
        <v>432</v>
      </c>
      <c r="F26" s="2" t="s">
        <v>433</v>
      </c>
      <c r="G26" s="2" t="s">
        <v>434</v>
      </c>
      <c r="H26" s="2" t="s">
        <v>436</v>
      </c>
      <c r="I26" s="2" t="s">
        <v>439</v>
      </c>
      <c r="J26" s="2" t="s">
        <v>37</v>
      </c>
      <c r="K26" s="2" t="s">
        <v>81</v>
      </c>
      <c r="L26" s="2" t="s">
        <v>219</v>
      </c>
      <c r="M26" s="2" t="s">
        <v>92</v>
      </c>
    </row>
    <row r="27">
      <c r="A27" s="3">
        <v>1.0</v>
      </c>
      <c r="B27" s="3">
        <v>26.0</v>
      </c>
      <c r="C27" s="2" t="s">
        <v>13</v>
      </c>
      <c r="D27" s="2" t="s">
        <v>648</v>
      </c>
      <c r="E27" s="2" t="s">
        <v>445</v>
      </c>
      <c r="F27" s="2" t="s">
        <v>446</v>
      </c>
      <c r="G27" s="2" t="s">
        <v>650</v>
      </c>
      <c r="H27" s="2" t="s">
        <v>448</v>
      </c>
      <c r="I27" s="2" t="s">
        <v>449</v>
      </c>
      <c r="J27" s="2" t="s">
        <v>26</v>
      </c>
      <c r="K27" s="2" t="s">
        <v>21</v>
      </c>
      <c r="L27" s="2" t="s">
        <v>219</v>
      </c>
      <c r="M27" s="2" t="s">
        <v>92</v>
      </c>
    </row>
    <row r="28">
      <c r="A28" s="3">
        <v>1.0</v>
      </c>
      <c r="B28" s="3">
        <v>27.0</v>
      </c>
      <c r="C28" s="2" t="s">
        <v>13</v>
      </c>
      <c r="D28" s="2" t="s">
        <v>654</v>
      </c>
      <c r="E28" s="2" t="s">
        <v>655</v>
      </c>
      <c r="F28" s="2" t="s">
        <v>656</v>
      </c>
      <c r="G28" s="2" t="s">
        <v>657</v>
      </c>
      <c r="H28" s="2" t="s">
        <v>244</v>
      </c>
      <c r="I28" s="2" t="s">
        <v>658</v>
      </c>
      <c r="J28" s="2" t="s">
        <v>41</v>
      </c>
      <c r="K28" s="2" t="s">
        <v>21</v>
      </c>
      <c r="L28" s="2" t="s">
        <v>219</v>
      </c>
      <c r="M28" s="2" t="s">
        <v>92</v>
      </c>
    </row>
    <row r="29">
      <c r="A29" s="3">
        <v>2.0</v>
      </c>
      <c r="B29" s="3">
        <v>1.0</v>
      </c>
      <c r="C29" s="2" t="s">
        <v>13</v>
      </c>
      <c r="D29" s="2" t="s">
        <v>468</v>
      </c>
      <c r="E29" s="2" t="s">
        <v>471</v>
      </c>
      <c r="F29" s="2" t="s">
        <v>472</v>
      </c>
      <c r="G29" s="2" t="s">
        <v>663</v>
      </c>
      <c r="H29" s="2" t="s">
        <v>244</v>
      </c>
      <c r="I29" s="2" t="s">
        <v>474</v>
      </c>
      <c r="J29" s="2" t="s">
        <v>20</v>
      </c>
      <c r="K29" s="2" t="s">
        <v>42</v>
      </c>
      <c r="L29" s="2" t="s">
        <v>219</v>
      </c>
      <c r="M29" s="2" t="s">
        <v>43</v>
      </c>
    </row>
    <row r="30">
      <c r="A30" s="3">
        <v>2.0</v>
      </c>
      <c r="B30" s="3">
        <v>2.0</v>
      </c>
      <c r="C30" s="2" t="s">
        <v>13</v>
      </c>
      <c r="D30" s="2" t="s">
        <v>667</v>
      </c>
      <c r="E30" s="2" t="s">
        <v>476</v>
      </c>
      <c r="F30" s="2" t="s">
        <v>478</v>
      </c>
      <c r="G30" s="2" t="s">
        <v>479</v>
      </c>
      <c r="H30" s="2" t="s">
        <v>480</v>
      </c>
      <c r="I30" s="2" t="s">
        <v>481</v>
      </c>
      <c r="J30" s="2" t="s">
        <v>41</v>
      </c>
      <c r="K30" s="2" t="s">
        <v>33</v>
      </c>
      <c r="L30" s="2" t="s">
        <v>219</v>
      </c>
      <c r="M30" s="2" t="s">
        <v>92</v>
      </c>
    </row>
    <row r="31">
      <c r="A31" s="3">
        <v>2.0</v>
      </c>
      <c r="B31" s="3">
        <v>3.0</v>
      </c>
      <c r="C31" s="2" t="s">
        <v>13</v>
      </c>
      <c r="D31" s="1" t="s">
        <v>159</v>
      </c>
      <c r="E31" s="2" t="s">
        <v>482</v>
      </c>
      <c r="F31" s="2" t="s">
        <v>483</v>
      </c>
      <c r="G31" s="2" t="s">
        <v>678</v>
      </c>
      <c r="H31" s="2" t="s">
        <v>679</v>
      </c>
      <c r="I31" s="2" t="s">
        <v>680</v>
      </c>
      <c r="J31" s="2" t="s">
        <v>26</v>
      </c>
      <c r="K31" s="2" t="s">
        <v>42</v>
      </c>
      <c r="L31" s="2" t="s">
        <v>22</v>
      </c>
      <c r="M31" s="2" t="s">
        <v>23</v>
      </c>
    </row>
    <row r="32">
      <c r="A32" s="3">
        <v>2.0</v>
      </c>
      <c r="B32" s="3">
        <v>4.0</v>
      </c>
      <c r="C32" s="2" t="s">
        <v>13</v>
      </c>
      <c r="D32" s="2" t="s">
        <v>491</v>
      </c>
      <c r="E32" s="2" t="s">
        <v>15</v>
      </c>
      <c r="F32" s="2" t="s">
        <v>492</v>
      </c>
      <c r="G32" s="2" t="s">
        <v>494</v>
      </c>
      <c r="H32" s="2" t="s">
        <v>495</v>
      </c>
      <c r="I32" s="2" t="s">
        <v>496</v>
      </c>
      <c r="J32" s="2" t="s">
        <v>41</v>
      </c>
      <c r="K32" s="2" t="s">
        <v>33</v>
      </c>
      <c r="L32" s="2" t="s">
        <v>22</v>
      </c>
      <c r="M32" s="2" t="s">
        <v>92</v>
      </c>
    </row>
    <row r="33">
      <c r="A33" s="3">
        <v>2.0</v>
      </c>
      <c r="B33" s="3">
        <v>5.0</v>
      </c>
      <c r="C33" s="2" t="s">
        <v>13</v>
      </c>
      <c r="D33" s="4" t="s">
        <v>997</v>
      </c>
      <c r="E33" s="2" t="s">
        <v>504</v>
      </c>
      <c r="F33" s="2" t="s">
        <v>505</v>
      </c>
      <c r="G33" s="2" t="s">
        <v>506</v>
      </c>
      <c r="H33" s="2" t="s">
        <v>507</v>
      </c>
      <c r="I33" s="2" t="s">
        <v>509</v>
      </c>
      <c r="J33" s="2" t="s">
        <v>20</v>
      </c>
      <c r="K33" s="2" t="s">
        <v>81</v>
      </c>
      <c r="L33" s="2" t="s">
        <v>22</v>
      </c>
      <c r="M33" s="2" t="s">
        <v>43</v>
      </c>
    </row>
    <row r="34">
      <c r="A34" s="3">
        <v>2.0</v>
      </c>
      <c r="B34" s="3">
        <v>6.0</v>
      </c>
      <c r="C34" s="2" t="s">
        <v>13</v>
      </c>
      <c r="D34" s="2" t="s">
        <v>514</v>
      </c>
      <c r="E34" s="2" t="s">
        <v>15</v>
      </c>
      <c r="F34" s="2" t="s">
        <v>515</v>
      </c>
      <c r="G34" s="2" t="s">
        <v>516</v>
      </c>
      <c r="H34" s="2" t="s">
        <v>518</v>
      </c>
      <c r="I34" s="2" t="s">
        <v>519</v>
      </c>
      <c r="J34" s="2" t="s">
        <v>26</v>
      </c>
      <c r="K34" s="2" t="s">
        <v>21</v>
      </c>
      <c r="L34" s="2" t="s">
        <v>22</v>
      </c>
      <c r="M34" s="2" t="s">
        <v>92</v>
      </c>
    </row>
    <row r="35">
      <c r="A35" s="3">
        <v>2.0</v>
      </c>
      <c r="B35" s="3">
        <v>7.0</v>
      </c>
      <c r="C35" s="2" t="s">
        <v>13</v>
      </c>
      <c r="D35" s="2" t="s">
        <v>691</v>
      </c>
      <c r="E35" s="2" t="s">
        <v>117</v>
      </c>
      <c r="F35" s="2" t="s">
        <v>526</v>
      </c>
      <c r="G35" s="2" t="s">
        <v>528</v>
      </c>
      <c r="H35" s="2" t="s">
        <v>529</v>
      </c>
      <c r="I35" s="2" t="s">
        <v>531</v>
      </c>
      <c r="J35" s="2" t="s">
        <v>41</v>
      </c>
      <c r="K35" s="2" t="s">
        <v>21</v>
      </c>
      <c r="L35" s="2" t="s">
        <v>82</v>
      </c>
      <c r="M35" s="2" t="s">
        <v>92</v>
      </c>
    </row>
    <row r="36">
      <c r="A36" s="3">
        <v>2.0</v>
      </c>
      <c r="B36" s="3">
        <v>8.0</v>
      </c>
      <c r="C36" s="2" t="s">
        <v>13</v>
      </c>
      <c r="D36" s="2" t="s">
        <v>693</v>
      </c>
      <c r="E36" s="2" t="s">
        <v>537</v>
      </c>
      <c r="F36" s="2" t="s">
        <v>694</v>
      </c>
      <c r="G36" s="2" t="s">
        <v>540</v>
      </c>
      <c r="H36" s="2" t="s">
        <v>542</v>
      </c>
      <c r="I36" s="2" t="s">
        <v>545</v>
      </c>
      <c r="J36" s="2" t="s">
        <v>37</v>
      </c>
      <c r="K36" s="2" t="s">
        <v>33</v>
      </c>
      <c r="L36" s="2" t="s">
        <v>363</v>
      </c>
      <c r="M36" s="2" t="s">
        <v>92</v>
      </c>
    </row>
    <row r="37">
      <c r="A37" s="3">
        <v>2.0</v>
      </c>
      <c r="B37" s="3">
        <v>9.0</v>
      </c>
      <c r="C37" s="2" t="s">
        <v>13</v>
      </c>
      <c r="D37" s="2" t="s">
        <v>697</v>
      </c>
      <c r="E37" s="2" t="s">
        <v>549</v>
      </c>
      <c r="F37" s="2" t="s">
        <v>551</v>
      </c>
      <c r="G37" s="2" t="s">
        <v>552</v>
      </c>
      <c r="H37" s="2" t="s">
        <v>556</v>
      </c>
      <c r="I37" s="2" t="s">
        <v>557</v>
      </c>
      <c r="J37" s="2" t="s">
        <v>41</v>
      </c>
      <c r="K37" s="2" t="s">
        <v>33</v>
      </c>
      <c r="L37" s="2" t="s">
        <v>363</v>
      </c>
      <c r="M37" s="2" t="s">
        <v>92</v>
      </c>
    </row>
    <row r="38">
      <c r="A38" s="3">
        <v>2.0</v>
      </c>
      <c r="B38" s="3">
        <v>10.0</v>
      </c>
      <c r="C38" s="2" t="s">
        <v>13</v>
      </c>
      <c r="D38" s="2" t="s">
        <v>560</v>
      </c>
      <c r="E38" s="2" t="s">
        <v>563</v>
      </c>
      <c r="F38" s="2" t="s">
        <v>565</v>
      </c>
      <c r="G38" s="2" t="s">
        <v>567</v>
      </c>
      <c r="H38" s="2" t="s">
        <v>568</v>
      </c>
      <c r="I38" s="2" t="s">
        <v>569</v>
      </c>
      <c r="J38" s="2" t="s">
        <v>20</v>
      </c>
      <c r="K38" s="2" t="s">
        <v>21</v>
      </c>
      <c r="L38" s="2" t="s">
        <v>112</v>
      </c>
      <c r="M38" s="2" t="s">
        <v>92</v>
      </c>
    </row>
    <row r="39">
      <c r="A39" s="3">
        <v>2.0</v>
      </c>
      <c r="B39" s="3">
        <v>11.0</v>
      </c>
      <c r="C39" s="2" t="s">
        <v>13</v>
      </c>
      <c r="D39" s="2" t="s">
        <v>572</v>
      </c>
      <c r="E39" s="2" t="s">
        <v>703</v>
      </c>
      <c r="F39" s="2" t="s">
        <v>704</v>
      </c>
      <c r="G39" s="2" t="s">
        <v>705</v>
      </c>
      <c r="H39" s="2" t="s">
        <v>706</v>
      </c>
      <c r="I39" s="2" t="s">
        <v>707</v>
      </c>
      <c r="J39" s="2" t="s">
        <v>20</v>
      </c>
      <c r="K39" s="2" t="s">
        <v>21</v>
      </c>
      <c r="L39" s="2" t="s">
        <v>201</v>
      </c>
      <c r="M39" s="2" t="s">
        <v>43</v>
      </c>
    </row>
    <row r="40">
      <c r="A40" s="3">
        <v>2.0</v>
      </c>
      <c r="B40" s="3">
        <v>12.0</v>
      </c>
      <c r="C40" s="2" t="s">
        <v>13</v>
      </c>
      <c r="D40" s="2" t="s">
        <v>576</v>
      </c>
      <c r="E40" s="2" t="s">
        <v>579</v>
      </c>
      <c r="F40" s="2" t="s">
        <v>581</v>
      </c>
      <c r="G40" s="2" t="s">
        <v>582</v>
      </c>
      <c r="H40" s="2" t="s">
        <v>583</v>
      </c>
      <c r="I40" s="2" t="s">
        <v>584</v>
      </c>
      <c r="J40" s="2" t="s">
        <v>26</v>
      </c>
      <c r="K40" s="2" t="s">
        <v>21</v>
      </c>
      <c r="L40" s="2" t="s">
        <v>112</v>
      </c>
      <c r="M40" s="2" t="s">
        <v>92</v>
      </c>
    </row>
    <row r="41">
      <c r="A41" s="3">
        <v>2.0</v>
      </c>
      <c r="B41" s="3">
        <v>13.0</v>
      </c>
      <c r="C41" s="2" t="s">
        <v>13</v>
      </c>
      <c r="D41" s="2" t="s">
        <v>586</v>
      </c>
      <c r="E41" s="2" t="s">
        <v>587</v>
      </c>
      <c r="F41" s="2" t="s">
        <v>588</v>
      </c>
      <c r="G41" s="2" t="s">
        <v>590</v>
      </c>
      <c r="H41" s="2" t="s">
        <v>591</v>
      </c>
      <c r="I41" s="2" t="s">
        <v>593</v>
      </c>
      <c r="J41" s="2" t="s">
        <v>26</v>
      </c>
      <c r="K41" s="2" t="s">
        <v>21</v>
      </c>
      <c r="L41" s="2" t="s">
        <v>112</v>
      </c>
      <c r="M41" s="2" t="s">
        <v>92</v>
      </c>
    </row>
    <row r="42">
      <c r="A42" s="3">
        <v>2.0</v>
      </c>
      <c r="B42" s="3">
        <v>14.0</v>
      </c>
      <c r="C42" s="2" t="s">
        <v>13</v>
      </c>
      <c r="D42" s="2" t="s">
        <v>597</v>
      </c>
      <c r="E42" s="2" t="s">
        <v>598</v>
      </c>
      <c r="F42" s="2" t="s">
        <v>599</v>
      </c>
      <c r="G42" s="1" t="s">
        <v>159</v>
      </c>
      <c r="H42" s="1" t="s">
        <v>159</v>
      </c>
      <c r="I42" s="1" t="s">
        <v>159</v>
      </c>
      <c r="J42" s="2" t="s">
        <v>20</v>
      </c>
      <c r="K42" s="2" t="s">
        <v>33</v>
      </c>
      <c r="L42" s="2" t="s">
        <v>136</v>
      </c>
      <c r="M42" s="2" t="s">
        <v>92</v>
      </c>
    </row>
    <row r="43">
      <c r="A43" s="3">
        <v>2.0</v>
      </c>
      <c r="B43" s="3">
        <v>15.0</v>
      </c>
      <c r="C43" s="2" t="s">
        <v>13</v>
      </c>
      <c r="D43" s="2" t="s">
        <v>721</v>
      </c>
      <c r="E43" s="2" t="s">
        <v>601</v>
      </c>
      <c r="F43" s="2" t="s">
        <v>602</v>
      </c>
      <c r="G43" s="1" t="s">
        <v>159</v>
      </c>
      <c r="H43" s="1" t="s">
        <v>159</v>
      </c>
      <c r="I43" s="1" t="s">
        <v>159</v>
      </c>
      <c r="J43" s="2" t="s">
        <v>20</v>
      </c>
      <c r="K43" s="2" t="s">
        <v>21</v>
      </c>
      <c r="L43" s="2" t="s">
        <v>136</v>
      </c>
      <c r="M43" s="2" t="s">
        <v>92</v>
      </c>
    </row>
    <row r="44">
      <c r="A44" s="3">
        <v>2.0</v>
      </c>
      <c r="B44" s="3">
        <v>16.0</v>
      </c>
      <c r="C44" s="2" t="s">
        <v>13</v>
      </c>
      <c r="D44" s="2" t="s">
        <v>727</v>
      </c>
      <c r="E44" s="2" t="s">
        <v>161</v>
      </c>
      <c r="F44" s="2" t="s">
        <v>604</v>
      </c>
      <c r="G44" s="2" t="s">
        <v>605</v>
      </c>
      <c r="H44" s="2" t="s">
        <v>729</v>
      </c>
      <c r="I44" s="2" t="s">
        <v>607</v>
      </c>
      <c r="J44" s="2" t="s">
        <v>41</v>
      </c>
      <c r="K44" s="2" t="s">
        <v>33</v>
      </c>
      <c r="L44" s="2" t="s">
        <v>166</v>
      </c>
      <c r="M44" s="2" t="s">
        <v>92</v>
      </c>
    </row>
    <row r="45">
      <c r="A45" s="3">
        <v>2.0</v>
      </c>
      <c r="B45" s="3">
        <v>17.0</v>
      </c>
      <c r="C45" s="2" t="s">
        <v>13</v>
      </c>
      <c r="D45" s="2" t="s">
        <v>608</v>
      </c>
      <c r="E45" s="2" t="s">
        <v>161</v>
      </c>
      <c r="F45" s="2" t="s">
        <v>609</v>
      </c>
      <c r="G45" s="2" t="s">
        <v>610</v>
      </c>
      <c r="H45" s="2" t="s">
        <v>611</v>
      </c>
      <c r="I45" s="2" t="s">
        <v>612</v>
      </c>
      <c r="J45" s="2" t="s">
        <v>41</v>
      </c>
      <c r="K45" s="2" t="s">
        <v>21</v>
      </c>
      <c r="L45" s="2" t="s">
        <v>166</v>
      </c>
      <c r="M45" s="2" t="s">
        <v>92</v>
      </c>
    </row>
    <row r="46">
      <c r="A46" s="3">
        <v>2.0</v>
      </c>
      <c r="B46" s="3">
        <v>18.0</v>
      </c>
      <c r="C46" s="2" t="s">
        <v>13</v>
      </c>
      <c r="D46" s="2" t="s">
        <v>736</v>
      </c>
      <c r="E46" s="2" t="s">
        <v>161</v>
      </c>
      <c r="F46" s="2" t="s">
        <v>614</v>
      </c>
      <c r="G46" s="2" t="s">
        <v>615</v>
      </c>
      <c r="H46" s="2" t="s">
        <v>617</v>
      </c>
      <c r="I46" s="2" t="s">
        <v>618</v>
      </c>
      <c r="J46" s="2" t="s">
        <v>41</v>
      </c>
      <c r="K46" s="2" t="s">
        <v>33</v>
      </c>
      <c r="L46" s="2" t="s">
        <v>166</v>
      </c>
      <c r="M46" s="2" t="s">
        <v>92</v>
      </c>
    </row>
    <row r="47">
      <c r="A47" s="3">
        <v>2.0</v>
      </c>
      <c r="B47" s="3">
        <v>19.0</v>
      </c>
      <c r="C47" s="2" t="s">
        <v>13</v>
      </c>
      <c r="D47" s="2" t="s">
        <v>742</v>
      </c>
      <c r="E47" s="2" t="s">
        <v>168</v>
      </c>
      <c r="F47" s="2" t="s">
        <v>620</v>
      </c>
      <c r="G47" s="2" t="s">
        <v>621</v>
      </c>
      <c r="H47" s="2" t="s">
        <v>622</v>
      </c>
      <c r="I47" s="2" t="s">
        <v>623</v>
      </c>
      <c r="J47" s="2" t="s">
        <v>41</v>
      </c>
      <c r="K47" s="2" t="s">
        <v>33</v>
      </c>
      <c r="L47" s="2" t="s">
        <v>184</v>
      </c>
      <c r="M47" s="2" t="s">
        <v>23</v>
      </c>
    </row>
    <row r="48">
      <c r="A48" s="3">
        <v>2.0</v>
      </c>
      <c r="B48" s="3">
        <v>20.0</v>
      </c>
      <c r="C48" s="2" t="s">
        <v>13</v>
      </c>
      <c r="D48" s="2" t="s">
        <v>744</v>
      </c>
      <c r="E48" s="2" t="s">
        <v>168</v>
      </c>
      <c r="F48" s="2" t="s">
        <v>625</v>
      </c>
      <c r="G48" s="2" t="s">
        <v>626</v>
      </c>
      <c r="H48" s="2" t="s">
        <v>627</v>
      </c>
      <c r="I48" s="2" t="s">
        <v>628</v>
      </c>
      <c r="J48" s="2" t="s">
        <v>26</v>
      </c>
      <c r="K48" s="2" t="s">
        <v>81</v>
      </c>
      <c r="L48" s="2" t="s">
        <v>173</v>
      </c>
      <c r="M48" s="2" t="s">
        <v>92</v>
      </c>
    </row>
    <row r="49">
      <c r="A49" s="3">
        <v>2.0</v>
      </c>
      <c r="B49" s="3">
        <v>21.0</v>
      </c>
      <c r="C49" s="2" t="s">
        <v>13</v>
      </c>
      <c r="D49" s="2" t="s">
        <v>629</v>
      </c>
      <c r="E49" s="2" t="s">
        <v>168</v>
      </c>
      <c r="F49" s="2" t="s">
        <v>630</v>
      </c>
      <c r="G49" s="2" t="s">
        <v>631</v>
      </c>
      <c r="H49" s="2" t="s">
        <v>632</v>
      </c>
      <c r="I49" s="2" t="s">
        <v>633</v>
      </c>
      <c r="J49" s="2" t="s">
        <v>37</v>
      </c>
      <c r="K49" s="2" t="s">
        <v>33</v>
      </c>
      <c r="L49" s="2" t="s">
        <v>173</v>
      </c>
      <c r="M49" s="2" t="s">
        <v>23</v>
      </c>
    </row>
    <row r="50">
      <c r="A50" s="3">
        <v>2.0</v>
      </c>
      <c r="B50" s="3">
        <v>22.0</v>
      </c>
      <c r="C50" s="2" t="s">
        <v>13</v>
      </c>
      <c r="D50" s="2" t="s">
        <v>634</v>
      </c>
      <c r="E50" s="2" t="s">
        <v>168</v>
      </c>
      <c r="F50" s="2" t="s">
        <v>635</v>
      </c>
      <c r="G50" s="2" t="s">
        <v>636</v>
      </c>
      <c r="H50" s="2" t="s">
        <v>637</v>
      </c>
      <c r="I50" s="2" t="s">
        <v>638</v>
      </c>
      <c r="J50" s="2" t="s">
        <v>20</v>
      </c>
      <c r="K50" s="2" t="s">
        <v>21</v>
      </c>
      <c r="L50" s="2" t="s">
        <v>184</v>
      </c>
      <c r="M50" s="2" t="s">
        <v>23</v>
      </c>
    </row>
    <row r="51">
      <c r="A51" s="3">
        <v>2.0</v>
      </c>
      <c r="B51" s="3">
        <v>23.0</v>
      </c>
      <c r="C51" s="2" t="s">
        <v>13</v>
      </c>
      <c r="D51" s="2" t="s">
        <v>756</v>
      </c>
      <c r="E51" s="2" t="s">
        <v>168</v>
      </c>
      <c r="F51" s="2" t="s">
        <v>640</v>
      </c>
      <c r="G51" s="2" t="s">
        <v>384</v>
      </c>
      <c r="H51" s="2" t="s">
        <v>641</v>
      </c>
      <c r="I51" s="2" t="s">
        <v>386</v>
      </c>
      <c r="J51" s="2" t="s">
        <v>26</v>
      </c>
      <c r="K51" s="2" t="s">
        <v>33</v>
      </c>
      <c r="L51" s="2" t="s">
        <v>173</v>
      </c>
      <c r="M51" s="2" t="s">
        <v>92</v>
      </c>
    </row>
    <row r="52">
      <c r="A52" s="3">
        <v>2.0</v>
      </c>
      <c r="B52" s="3">
        <v>24.0</v>
      </c>
      <c r="C52" s="2" t="s">
        <v>13</v>
      </c>
      <c r="D52" s="2" t="s">
        <v>644</v>
      </c>
      <c r="E52" s="2" t="s">
        <v>168</v>
      </c>
      <c r="F52" s="1" t="s">
        <v>159</v>
      </c>
      <c r="G52" s="1" t="s">
        <v>159</v>
      </c>
      <c r="H52" s="1" t="s">
        <v>159</v>
      </c>
      <c r="I52" s="1" t="s">
        <v>159</v>
      </c>
      <c r="J52" s="2">
        <v>1714.0</v>
      </c>
      <c r="K52" s="2" t="s">
        <v>329</v>
      </c>
      <c r="L52" s="2" t="s">
        <v>329</v>
      </c>
      <c r="M52" s="2" t="s">
        <v>329</v>
      </c>
    </row>
    <row r="53">
      <c r="A53" s="3">
        <v>2.0</v>
      </c>
      <c r="B53" s="3">
        <v>25.0</v>
      </c>
      <c r="C53" s="2" t="s">
        <v>13</v>
      </c>
      <c r="D53" s="2" t="s">
        <v>646</v>
      </c>
      <c r="E53" s="2" t="s">
        <v>196</v>
      </c>
      <c r="F53" s="2" t="s">
        <v>561</v>
      </c>
      <c r="G53" s="2" t="s">
        <v>562</v>
      </c>
      <c r="H53" s="2" t="s">
        <v>566</v>
      </c>
      <c r="I53" s="2" t="s">
        <v>564</v>
      </c>
      <c r="J53" s="2" t="s">
        <v>37</v>
      </c>
      <c r="K53" s="2" t="s">
        <v>33</v>
      </c>
      <c r="L53" s="2" t="s">
        <v>201</v>
      </c>
      <c r="M53" s="2" t="s">
        <v>23</v>
      </c>
    </row>
    <row r="54">
      <c r="A54" s="3">
        <v>2.0</v>
      </c>
      <c r="B54" s="3">
        <v>26.0</v>
      </c>
      <c r="C54" s="2" t="s">
        <v>13</v>
      </c>
      <c r="D54" s="2" t="s">
        <v>647</v>
      </c>
      <c r="E54" s="2" t="s">
        <v>196</v>
      </c>
      <c r="F54" s="2" t="s">
        <v>562</v>
      </c>
      <c r="G54" s="2" t="s">
        <v>203</v>
      </c>
      <c r="H54" s="2" t="s">
        <v>649</v>
      </c>
      <c r="I54" s="2" t="s">
        <v>561</v>
      </c>
      <c r="J54" s="2" t="s">
        <v>20</v>
      </c>
      <c r="K54" s="2" t="s">
        <v>21</v>
      </c>
      <c r="L54" s="2" t="s">
        <v>201</v>
      </c>
      <c r="M54" s="2" t="s">
        <v>23</v>
      </c>
    </row>
    <row r="55">
      <c r="A55" s="3">
        <v>2.0</v>
      </c>
      <c r="B55" s="3">
        <v>27.0</v>
      </c>
      <c r="C55" s="2" t="s">
        <v>13</v>
      </c>
      <c r="D55" s="2" t="s">
        <v>651</v>
      </c>
      <c r="E55" s="2" t="s">
        <v>196</v>
      </c>
      <c r="F55" s="2" t="s">
        <v>198</v>
      </c>
      <c r="G55" s="2" t="s">
        <v>652</v>
      </c>
      <c r="H55" s="2" t="s">
        <v>561</v>
      </c>
      <c r="I55" s="2" t="s">
        <v>653</v>
      </c>
      <c r="J55" s="2" t="s">
        <v>20</v>
      </c>
      <c r="K55" s="2" t="s">
        <v>33</v>
      </c>
      <c r="L55" s="2" t="s">
        <v>201</v>
      </c>
      <c r="M55" s="2" t="s">
        <v>23</v>
      </c>
    </row>
    <row r="56">
      <c r="A56" s="3">
        <v>1.0</v>
      </c>
      <c r="B56" s="3">
        <v>1.0</v>
      </c>
      <c r="C56" s="2" t="s">
        <v>13</v>
      </c>
      <c r="D56" s="2" t="s">
        <v>659</v>
      </c>
      <c r="E56" s="2" t="s">
        <v>196</v>
      </c>
      <c r="F56" s="2" t="s">
        <v>767</v>
      </c>
      <c r="G56" s="2" t="s">
        <v>768</v>
      </c>
      <c r="H56" s="2" t="s">
        <v>769</v>
      </c>
      <c r="I56" s="2" t="s">
        <v>770</v>
      </c>
      <c r="J56" s="2" t="s">
        <v>41</v>
      </c>
      <c r="K56" s="2" t="s">
        <v>33</v>
      </c>
      <c r="L56" s="2" t="s">
        <v>201</v>
      </c>
      <c r="M56" s="2" t="s">
        <v>23</v>
      </c>
    </row>
    <row r="57">
      <c r="A57" s="3">
        <v>1.0</v>
      </c>
      <c r="B57" s="3">
        <v>2.0</v>
      </c>
      <c r="C57" s="2" t="s">
        <v>13</v>
      </c>
      <c r="D57" s="1" t="s">
        <v>159</v>
      </c>
      <c r="E57" s="2" t="s">
        <v>196</v>
      </c>
      <c r="F57" s="2" t="s">
        <v>664</v>
      </c>
      <c r="G57" s="2" t="s">
        <v>197</v>
      </c>
      <c r="H57" s="2" t="s">
        <v>665</v>
      </c>
      <c r="I57" s="2" t="s">
        <v>666</v>
      </c>
      <c r="J57" s="2" t="s">
        <v>26</v>
      </c>
      <c r="K57" s="2" t="s">
        <v>21</v>
      </c>
      <c r="L57" s="2" t="s">
        <v>201</v>
      </c>
      <c r="M57" s="2" t="s">
        <v>23</v>
      </c>
    </row>
    <row r="58">
      <c r="A58" s="3">
        <v>1.0</v>
      </c>
      <c r="B58" s="3">
        <v>3.0</v>
      </c>
      <c r="C58" s="2" t="s">
        <v>13</v>
      </c>
      <c r="D58" s="2" t="s">
        <v>668</v>
      </c>
      <c r="E58" s="2" t="s">
        <v>196</v>
      </c>
      <c r="F58" s="2" t="s">
        <v>564</v>
      </c>
      <c r="G58" s="2" t="s">
        <v>669</v>
      </c>
      <c r="H58" s="2" t="s">
        <v>670</v>
      </c>
      <c r="I58" s="2" t="s">
        <v>671</v>
      </c>
      <c r="J58" s="2" t="s">
        <v>41</v>
      </c>
      <c r="K58" s="2" t="s">
        <v>21</v>
      </c>
      <c r="L58" s="2" t="s">
        <v>201</v>
      </c>
      <c r="M58" s="2" t="s">
        <v>23</v>
      </c>
    </row>
    <row r="59">
      <c r="A59" s="3">
        <v>1.0</v>
      </c>
      <c r="B59" s="3">
        <v>4.0</v>
      </c>
      <c r="C59" s="2" t="s">
        <v>13</v>
      </c>
      <c r="D59" s="2" t="s">
        <v>672</v>
      </c>
      <c r="E59" s="2" t="s">
        <v>673</v>
      </c>
      <c r="F59" s="2" t="s">
        <v>674</v>
      </c>
      <c r="G59" s="2" t="s">
        <v>675</v>
      </c>
      <c r="H59" s="2" t="s">
        <v>676</v>
      </c>
      <c r="I59" s="2" t="s">
        <v>677</v>
      </c>
      <c r="J59" s="2" t="s">
        <v>20</v>
      </c>
      <c r="K59" s="2" t="s">
        <v>21</v>
      </c>
      <c r="L59" s="2" t="s">
        <v>219</v>
      </c>
      <c r="M59" s="2" t="s">
        <v>92</v>
      </c>
    </row>
    <row r="60">
      <c r="A60" s="3">
        <v>1.0</v>
      </c>
      <c r="B60" s="3">
        <v>5.0</v>
      </c>
      <c r="C60" s="2" t="s">
        <v>316</v>
      </c>
      <c r="D60" s="1" t="s">
        <v>159</v>
      </c>
      <c r="E60" s="2" t="s">
        <v>681</v>
      </c>
      <c r="F60" s="1" t="s">
        <v>159</v>
      </c>
      <c r="G60" s="1" t="s">
        <v>159</v>
      </c>
      <c r="H60" s="1" t="s">
        <v>159</v>
      </c>
      <c r="I60" s="1" t="s">
        <v>159</v>
      </c>
      <c r="J60" s="2">
        <v>602.0</v>
      </c>
      <c r="K60" s="2" t="s">
        <v>662</v>
      </c>
      <c r="L60" s="2" t="s">
        <v>662</v>
      </c>
      <c r="M60" s="2" t="s">
        <v>662</v>
      </c>
    </row>
    <row r="61">
      <c r="A61" s="3">
        <v>1.0</v>
      </c>
      <c r="B61" s="3">
        <v>6.0</v>
      </c>
      <c r="C61" s="2" t="s">
        <v>316</v>
      </c>
      <c r="D61" s="2" t="s">
        <v>683</v>
      </c>
      <c r="E61" s="2" t="s">
        <v>782</v>
      </c>
      <c r="F61" s="2" t="s">
        <v>684</v>
      </c>
      <c r="G61" s="2" t="s">
        <v>685</v>
      </c>
      <c r="H61" s="8">
        <v>46026.0</v>
      </c>
      <c r="I61" s="8">
        <v>46213.0</v>
      </c>
      <c r="J61" s="2" t="s">
        <v>26</v>
      </c>
      <c r="K61" s="2" t="s">
        <v>662</v>
      </c>
      <c r="L61" s="2" t="s">
        <v>662</v>
      </c>
      <c r="M61" s="2" t="s">
        <v>662</v>
      </c>
    </row>
    <row r="62">
      <c r="A62" s="3">
        <v>1.0</v>
      </c>
      <c r="B62" s="3">
        <v>7.0</v>
      </c>
      <c r="C62" s="2" t="s">
        <v>316</v>
      </c>
      <c r="D62" s="1" t="s">
        <v>159</v>
      </c>
      <c r="E62" s="2" t="s">
        <v>784</v>
      </c>
      <c r="F62" s="2">
        <v>-3.0</v>
      </c>
      <c r="G62" s="2">
        <v>15.0</v>
      </c>
      <c r="H62" s="2">
        <v>18.0</v>
      </c>
      <c r="I62" s="2">
        <v>21.0</v>
      </c>
      <c r="J62" s="2" t="s">
        <v>41</v>
      </c>
      <c r="K62" s="2" t="s">
        <v>662</v>
      </c>
      <c r="L62" s="2" t="s">
        <v>662</v>
      </c>
      <c r="M62" s="2" t="s">
        <v>662</v>
      </c>
    </row>
    <row r="63">
      <c r="A63" s="3">
        <v>1.0</v>
      </c>
      <c r="B63" s="3">
        <v>8.0</v>
      </c>
      <c r="C63" s="2" t="s">
        <v>316</v>
      </c>
      <c r="D63" s="1" t="s">
        <v>159</v>
      </c>
      <c r="E63" s="2" t="s">
        <v>688</v>
      </c>
      <c r="F63" s="1" t="s">
        <v>159</v>
      </c>
      <c r="G63" s="1" t="s">
        <v>159</v>
      </c>
      <c r="H63" s="1" t="s">
        <v>159</v>
      </c>
      <c r="I63" s="1" t="s">
        <v>159</v>
      </c>
      <c r="J63" s="2">
        <v>654.0</v>
      </c>
      <c r="K63" s="2" t="s">
        <v>662</v>
      </c>
      <c r="L63" s="2" t="s">
        <v>662</v>
      </c>
      <c r="M63" s="2" t="s">
        <v>662</v>
      </c>
    </row>
    <row r="64">
      <c r="A64" s="3">
        <v>1.0</v>
      </c>
      <c r="B64" s="3">
        <v>9.0</v>
      </c>
      <c r="C64" s="2" t="s">
        <v>316</v>
      </c>
      <c r="D64" s="1" t="s">
        <v>159</v>
      </c>
      <c r="E64" s="2" t="s">
        <v>689</v>
      </c>
      <c r="F64" s="1" t="s">
        <v>159</v>
      </c>
      <c r="G64" s="1" t="s">
        <v>159</v>
      </c>
      <c r="H64" s="1" t="s">
        <v>159</v>
      </c>
      <c r="I64" s="1" t="s">
        <v>159</v>
      </c>
      <c r="J64" s="2">
        <v>5900.0</v>
      </c>
      <c r="K64" s="2" t="s">
        <v>662</v>
      </c>
      <c r="L64" s="2" t="s">
        <v>662</v>
      </c>
      <c r="M64" s="2" t="s">
        <v>662</v>
      </c>
    </row>
    <row r="65">
      <c r="A65" s="3">
        <v>1.0</v>
      </c>
      <c r="B65" s="3">
        <v>10.0</v>
      </c>
      <c r="C65" s="2" t="s">
        <v>316</v>
      </c>
      <c r="D65" s="1" t="s">
        <v>159</v>
      </c>
      <c r="E65" s="2" t="s">
        <v>690</v>
      </c>
      <c r="F65" s="1" t="s">
        <v>159</v>
      </c>
      <c r="G65" s="1" t="s">
        <v>159</v>
      </c>
      <c r="H65" s="1" t="s">
        <v>159</v>
      </c>
      <c r="I65" s="1" t="s">
        <v>159</v>
      </c>
      <c r="J65" s="2">
        <v>1.2</v>
      </c>
      <c r="K65" s="2" t="s">
        <v>662</v>
      </c>
      <c r="L65" s="2" t="s">
        <v>662</v>
      </c>
      <c r="M65" s="2" t="s">
        <v>662</v>
      </c>
    </row>
    <row r="66">
      <c r="A66" s="3">
        <v>1.0</v>
      </c>
      <c r="B66" s="3">
        <v>11.0</v>
      </c>
      <c r="C66" s="2" t="s">
        <v>316</v>
      </c>
      <c r="D66" s="1" t="s">
        <v>159</v>
      </c>
      <c r="E66" s="2" t="s">
        <v>692</v>
      </c>
      <c r="F66" s="2">
        <v>64.0</v>
      </c>
      <c r="G66" s="2">
        <v>81.0</v>
      </c>
      <c r="H66" s="2">
        <v>258.0</v>
      </c>
      <c r="I66" s="2">
        <v>384.0</v>
      </c>
      <c r="J66" s="2" t="s">
        <v>41</v>
      </c>
      <c r="K66" s="2" t="s">
        <v>662</v>
      </c>
      <c r="L66" s="2" t="s">
        <v>662</v>
      </c>
      <c r="M66" s="2" t="s">
        <v>662</v>
      </c>
    </row>
    <row r="67">
      <c r="A67" s="3">
        <v>1.0</v>
      </c>
      <c r="B67" s="3">
        <v>12.0</v>
      </c>
      <c r="C67" s="2" t="s">
        <v>316</v>
      </c>
      <c r="D67" s="2" t="s">
        <v>791</v>
      </c>
      <c r="E67" s="2" t="s">
        <v>696</v>
      </c>
      <c r="F67" s="1" t="s">
        <v>159</v>
      </c>
      <c r="G67" s="1" t="s">
        <v>159</v>
      </c>
      <c r="H67" s="1" t="s">
        <v>159</v>
      </c>
      <c r="I67" s="1" t="s">
        <v>159</v>
      </c>
      <c r="J67" s="2" t="s">
        <v>26</v>
      </c>
      <c r="K67" s="2" t="s">
        <v>662</v>
      </c>
      <c r="L67" s="2" t="s">
        <v>662</v>
      </c>
      <c r="M67" s="2" t="s">
        <v>662</v>
      </c>
    </row>
    <row r="68">
      <c r="A68" s="3">
        <v>1.0</v>
      </c>
      <c r="B68" s="3">
        <v>13.0</v>
      </c>
      <c r="C68" s="2" t="s">
        <v>316</v>
      </c>
      <c r="D68" s="1" t="s">
        <v>159</v>
      </c>
      <c r="E68" s="2" t="s">
        <v>798</v>
      </c>
      <c r="F68" s="1" t="s">
        <v>159</v>
      </c>
      <c r="G68" s="1" t="s">
        <v>159</v>
      </c>
      <c r="H68" s="1" t="s">
        <v>159</v>
      </c>
      <c r="I68" s="1" t="s">
        <v>159</v>
      </c>
      <c r="J68" s="2" t="s">
        <v>20</v>
      </c>
      <c r="K68" s="2" t="s">
        <v>662</v>
      </c>
      <c r="L68" s="2" t="s">
        <v>662</v>
      </c>
      <c r="M68" s="2" t="s">
        <v>662</v>
      </c>
    </row>
    <row r="69">
      <c r="A69" s="3">
        <v>1.0</v>
      </c>
      <c r="B69" s="3">
        <v>14.0</v>
      </c>
      <c r="C69" s="2" t="s">
        <v>316</v>
      </c>
      <c r="D69" s="2" t="s">
        <v>805</v>
      </c>
      <c r="E69" s="2" t="s">
        <v>806</v>
      </c>
      <c r="F69" s="1" t="s">
        <v>159</v>
      </c>
      <c r="G69" s="1" t="s">
        <v>159</v>
      </c>
      <c r="H69" s="1" t="s">
        <v>159</v>
      </c>
      <c r="I69" s="1" t="s">
        <v>159</v>
      </c>
      <c r="J69" s="2">
        <v>208.0</v>
      </c>
      <c r="K69" s="2" t="s">
        <v>662</v>
      </c>
      <c r="L69" s="2" t="s">
        <v>662</v>
      </c>
      <c r="M69" s="2" t="s">
        <v>662</v>
      </c>
    </row>
    <row r="70">
      <c r="A70" s="3">
        <v>1.0</v>
      </c>
      <c r="B70" s="3">
        <v>15.0</v>
      </c>
      <c r="C70" s="2" t="s">
        <v>316</v>
      </c>
      <c r="D70" s="2" t="s">
        <v>808</v>
      </c>
      <c r="E70" s="1" t="s">
        <v>159</v>
      </c>
      <c r="F70" s="1" t="s">
        <v>159</v>
      </c>
      <c r="G70" s="1" t="s">
        <v>159</v>
      </c>
      <c r="H70" s="1" t="s">
        <v>159</v>
      </c>
      <c r="I70" s="1" t="s">
        <v>159</v>
      </c>
      <c r="J70" s="2">
        <v>15.0</v>
      </c>
      <c r="K70" s="2" t="s">
        <v>662</v>
      </c>
      <c r="L70" s="2" t="s">
        <v>662</v>
      </c>
      <c r="M70" s="2" t="s">
        <v>662</v>
      </c>
    </row>
    <row r="71">
      <c r="A71" s="3">
        <v>1.0</v>
      </c>
      <c r="B71" s="3">
        <v>16.0</v>
      </c>
      <c r="C71" s="2" t="s">
        <v>316</v>
      </c>
      <c r="D71" s="1" t="s">
        <v>159</v>
      </c>
      <c r="E71" s="2" t="s">
        <v>809</v>
      </c>
      <c r="F71" s="2">
        <v>40.0</v>
      </c>
      <c r="G71" s="2">
        <v>20.0</v>
      </c>
      <c r="H71" s="2">
        <v>10.0</v>
      </c>
      <c r="I71" s="6" t="s">
        <v>1029</v>
      </c>
      <c r="J71" s="2">
        <v>20.0</v>
      </c>
      <c r="K71" s="2" t="s">
        <v>662</v>
      </c>
      <c r="L71" s="2" t="s">
        <v>662</v>
      </c>
      <c r="M71" s="2" t="s">
        <v>662</v>
      </c>
    </row>
    <row r="72">
      <c r="A72" s="3">
        <v>1.0</v>
      </c>
      <c r="B72" s="3">
        <v>17.0</v>
      </c>
      <c r="C72" s="2" t="s">
        <v>316</v>
      </c>
      <c r="D72" s="2" t="s">
        <v>811</v>
      </c>
      <c r="E72" s="2" t="s">
        <v>710</v>
      </c>
      <c r="F72" s="2" t="s">
        <v>711</v>
      </c>
      <c r="G72" s="8">
        <v>46048.0</v>
      </c>
      <c r="H72" s="2" t="s">
        <v>712</v>
      </c>
      <c r="I72" s="2" t="s">
        <v>713</v>
      </c>
      <c r="J72" s="2" t="s">
        <v>41</v>
      </c>
      <c r="K72" s="2" t="s">
        <v>662</v>
      </c>
      <c r="L72" s="2" t="s">
        <v>662</v>
      </c>
      <c r="M72" s="2" t="s">
        <v>662</v>
      </c>
      <c r="N72" s="7" t="str">
        <f>IMAGE("https://lh3.googleusercontent.com/d/1mZ_JG2ltQ_HmkeeFlIydAfGXpdHBvCkS")</f>
        <v/>
      </c>
    </row>
    <row r="73">
      <c r="A73" s="3">
        <v>1.0</v>
      </c>
      <c r="B73" s="3">
        <v>18.0</v>
      </c>
      <c r="C73" s="2" t="s">
        <v>316</v>
      </c>
      <c r="D73" s="6" t="s">
        <v>1032</v>
      </c>
      <c r="E73" s="2" t="s">
        <v>817</v>
      </c>
      <c r="F73" s="2" t="s">
        <v>818</v>
      </c>
      <c r="G73" s="2" t="s">
        <v>820</v>
      </c>
      <c r="H73" s="2" t="s">
        <v>725</v>
      </c>
      <c r="I73" s="2" t="s">
        <v>781</v>
      </c>
      <c r="J73" s="2" t="s">
        <v>37</v>
      </c>
      <c r="K73" s="2" t="s">
        <v>662</v>
      </c>
      <c r="L73" s="2" t="s">
        <v>662</v>
      </c>
      <c r="M73" s="2" t="s">
        <v>662</v>
      </c>
    </row>
    <row r="74">
      <c r="A74" s="3">
        <v>1.0</v>
      </c>
      <c r="B74" s="3">
        <v>19.0</v>
      </c>
      <c r="C74" s="2" t="s">
        <v>316</v>
      </c>
      <c r="D74" s="1" t="s">
        <v>159</v>
      </c>
      <c r="E74" s="2" t="s">
        <v>821</v>
      </c>
      <c r="F74" s="2" t="s">
        <v>717</v>
      </c>
      <c r="G74" s="2" t="s">
        <v>718</v>
      </c>
      <c r="H74" s="2" t="s">
        <v>719</v>
      </c>
      <c r="I74" s="2" t="s">
        <v>720</v>
      </c>
      <c r="J74" s="2" t="s">
        <v>37</v>
      </c>
      <c r="K74" s="2" t="s">
        <v>662</v>
      </c>
      <c r="L74" s="2" t="s">
        <v>662</v>
      </c>
      <c r="M74" s="2" t="s">
        <v>662</v>
      </c>
    </row>
    <row r="75">
      <c r="A75" s="3">
        <v>1.0</v>
      </c>
      <c r="B75" s="3">
        <v>20.0</v>
      </c>
      <c r="C75" s="2" t="s">
        <v>316</v>
      </c>
      <c r="D75" s="1" t="s">
        <v>159</v>
      </c>
      <c r="E75" s="6" t="s">
        <v>1036</v>
      </c>
      <c r="F75" s="2" t="s">
        <v>723</v>
      </c>
      <c r="G75" s="2" t="s">
        <v>724</v>
      </c>
      <c r="H75" s="2" t="s">
        <v>725</v>
      </c>
      <c r="I75" s="2" t="s">
        <v>726</v>
      </c>
      <c r="J75" s="2" t="s">
        <v>20</v>
      </c>
      <c r="K75" s="2" t="s">
        <v>662</v>
      </c>
      <c r="L75" s="2" t="s">
        <v>662</v>
      </c>
      <c r="M75" s="2" t="s">
        <v>662</v>
      </c>
    </row>
    <row r="76">
      <c r="A76" s="3">
        <v>1.0</v>
      </c>
      <c r="B76" s="3">
        <v>21.0</v>
      </c>
      <c r="C76" s="2" t="s">
        <v>316</v>
      </c>
      <c r="D76" s="1" t="s">
        <v>159</v>
      </c>
      <c r="E76" s="2" t="s">
        <v>830</v>
      </c>
      <c r="F76" s="1" t="s">
        <v>159</v>
      </c>
      <c r="G76" s="1" t="s">
        <v>159</v>
      </c>
      <c r="H76" s="1" t="s">
        <v>159</v>
      </c>
      <c r="I76" s="1" t="s">
        <v>159</v>
      </c>
      <c r="J76" s="2">
        <v>10.0</v>
      </c>
      <c r="K76" s="2" t="s">
        <v>662</v>
      </c>
      <c r="L76" s="2" t="s">
        <v>662</v>
      </c>
      <c r="M76" s="2" t="s">
        <v>662</v>
      </c>
    </row>
    <row r="77">
      <c r="A77" s="3">
        <v>1.0</v>
      </c>
      <c r="B77" s="3">
        <v>22.0</v>
      </c>
      <c r="C77" s="2" t="s">
        <v>316</v>
      </c>
      <c r="D77" s="2" t="s">
        <v>730</v>
      </c>
      <c r="E77" s="2" t="s">
        <v>832</v>
      </c>
      <c r="F77" s="2" t="s">
        <v>732</v>
      </c>
      <c r="G77" s="2" t="s">
        <v>733</v>
      </c>
      <c r="H77" s="2" t="s">
        <v>734</v>
      </c>
      <c r="I77" s="2" t="s">
        <v>735</v>
      </c>
      <c r="J77" s="2" t="s">
        <v>20</v>
      </c>
      <c r="K77" s="2" t="s">
        <v>662</v>
      </c>
      <c r="L77" s="2" t="s">
        <v>662</v>
      </c>
      <c r="M77" s="2" t="s">
        <v>662</v>
      </c>
    </row>
    <row r="78">
      <c r="A78" s="3">
        <v>1.0</v>
      </c>
      <c r="B78" s="3">
        <v>23.0</v>
      </c>
      <c r="C78" s="2" t="s">
        <v>316</v>
      </c>
      <c r="D78" s="4" t="s">
        <v>1039</v>
      </c>
      <c r="E78" s="2" t="s">
        <v>696</v>
      </c>
      <c r="F78" s="1" t="str">
        <f>IMAGE("https://lh3.googleusercontent.com/d/1DHay4iS6qX7dMz20BxAk207Z2yRTzgOq")</f>
        <v/>
      </c>
      <c r="G78" s="1" t="str">
        <f>IMAGE("https://lh3.googleusercontent.com/d/1vB6SqjPAcc9NK87cq9iceOe8rxwSXRk-")</f>
        <v/>
      </c>
      <c r="H78" s="1" t="str">
        <f>IMAGE("https://lh3.googleusercontent.com/d/1BsjB56aJ6Z7cP4pJKoBiE4cjiZ4ymrg_")</f>
        <v/>
      </c>
      <c r="I78" s="1" t="str">
        <f>IMAGE("https://lh3.googleusercontent.com/d/1wV10kV7iRl67FJjbUYqv0pvrlRdRH3uV")</f>
        <v/>
      </c>
      <c r="J78" s="2" t="s">
        <v>26</v>
      </c>
      <c r="K78" s="2" t="s">
        <v>662</v>
      </c>
      <c r="L78" s="2" t="s">
        <v>662</v>
      </c>
      <c r="M78" s="2" t="s">
        <v>662</v>
      </c>
    </row>
    <row r="79">
      <c r="A79" s="3">
        <v>1.0</v>
      </c>
      <c r="B79" s="3">
        <v>24.0</v>
      </c>
      <c r="C79" s="2" t="s">
        <v>316</v>
      </c>
      <c r="D79" s="6" t="s">
        <v>1042</v>
      </c>
      <c r="E79" s="2" t="s">
        <v>741</v>
      </c>
      <c r="F79" s="2">
        <v>1.0</v>
      </c>
      <c r="G79" s="2">
        <v>9.0</v>
      </c>
      <c r="H79" s="2">
        <v>15.0</v>
      </c>
      <c r="I79" s="2">
        <v>21.0</v>
      </c>
      <c r="J79" s="2">
        <v>15.0</v>
      </c>
      <c r="K79" s="2" t="s">
        <v>662</v>
      </c>
      <c r="L79" s="2" t="s">
        <v>662</v>
      </c>
      <c r="M79" s="2" t="s">
        <v>662</v>
      </c>
    </row>
    <row r="80">
      <c r="A80" s="3">
        <v>1.0</v>
      </c>
      <c r="B80" s="3">
        <v>25.0</v>
      </c>
      <c r="C80" s="2" t="s">
        <v>316</v>
      </c>
      <c r="D80" s="1" t="s">
        <v>159</v>
      </c>
      <c r="E80" s="2" t="s">
        <v>842</v>
      </c>
      <c r="F80" s="1" t="s">
        <v>159</v>
      </c>
      <c r="G80" s="1" t="s">
        <v>159</v>
      </c>
      <c r="H80" s="1" t="s">
        <v>159</v>
      </c>
      <c r="I80" s="1" t="s">
        <v>159</v>
      </c>
      <c r="J80" s="2">
        <v>211.0</v>
      </c>
      <c r="K80" s="2" t="s">
        <v>662</v>
      </c>
      <c r="L80" s="2" t="s">
        <v>662</v>
      </c>
      <c r="M80" s="2" t="s">
        <v>662</v>
      </c>
    </row>
    <row r="81">
      <c r="A81" s="3">
        <v>1.0</v>
      </c>
      <c r="B81" s="3">
        <v>26.0</v>
      </c>
      <c r="C81" s="2" t="s">
        <v>316</v>
      </c>
      <c r="D81" s="2" t="s">
        <v>844</v>
      </c>
      <c r="E81" s="2" t="s">
        <v>696</v>
      </c>
      <c r="F81" s="1" t="s">
        <v>159</v>
      </c>
      <c r="G81" s="1" t="s">
        <v>159</v>
      </c>
      <c r="H81" s="1" t="s">
        <v>159</v>
      </c>
      <c r="I81" s="1" t="s">
        <v>159</v>
      </c>
      <c r="J81" s="2" t="s">
        <v>845</v>
      </c>
      <c r="K81" s="2" t="s">
        <v>662</v>
      </c>
      <c r="L81" s="2" t="s">
        <v>662</v>
      </c>
      <c r="M81" s="2" t="s">
        <v>662</v>
      </c>
    </row>
    <row r="82">
      <c r="A82" s="3">
        <v>1.0</v>
      </c>
      <c r="B82" s="3">
        <v>27.0</v>
      </c>
      <c r="C82" s="2" t="s">
        <v>316</v>
      </c>
      <c r="D82" s="1" t="s">
        <v>159</v>
      </c>
      <c r="E82" s="2" t="s">
        <v>847</v>
      </c>
      <c r="F82" s="2" t="s">
        <v>848</v>
      </c>
      <c r="G82" s="2" t="s">
        <v>849</v>
      </c>
      <c r="H82" s="2" t="s">
        <v>850</v>
      </c>
      <c r="I82" s="2" t="s">
        <v>851</v>
      </c>
      <c r="J82" s="2" t="s">
        <v>20</v>
      </c>
      <c r="K82" s="2" t="s">
        <v>662</v>
      </c>
      <c r="L82" s="2" t="s">
        <v>662</v>
      </c>
      <c r="M82" s="2" t="s">
        <v>662</v>
      </c>
    </row>
    <row r="83">
      <c r="A83" s="3">
        <v>2.0</v>
      </c>
      <c r="B83" s="3">
        <v>1.0</v>
      </c>
      <c r="C83" s="2" t="s">
        <v>316</v>
      </c>
      <c r="D83" s="2" t="s">
        <v>749</v>
      </c>
      <c r="E83" s="2" t="s">
        <v>750</v>
      </c>
      <c r="F83" s="2" t="s">
        <v>853</v>
      </c>
      <c r="G83" s="2" t="s">
        <v>854</v>
      </c>
      <c r="H83" s="2" t="s">
        <v>753</v>
      </c>
      <c r="I83" s="2" t="s">
        <v>754</v>
      </c>
      <c r="J83" s="2" t="s">
        <v>37</v>
      </c>
      <c r="K83" s="2" t="s">
        <v>662</v>
      </c>
      <c r="L83" s="2" t="s">
        <v>662</v>
      </c>
      <c r="M83" s="2" t="s">
        <v>662</v>
      </c>
    </row>
    <row r="84">
      <c r="A84" s="3">
        <v>2.0</v>
      </c>
      <c r="B84" s="3">
        <v>2.0</v>
      </c>
      <c r="C84" s="2" t="s">
        <v>316</v>
      </c>
      <c r="D84" s="1" t="s">
        <v>159</v>
      </c>
      <c r="E84" s="2" t="s">
        <v>755</v>
      </c>
      <c r="F84" s="2">
        <v>3.0</v>
      </c>
      <c r="G84" s="2">
        <v>7.0</v>
      </c>
      <c r="H84" s="2">
        <v>32.0</v>
      </c>
      <c r="I84" s="2">
        <v>40.0</v>
      </c>
      <c r="J84" s="2" t="s">
        <v>41</v>
      </c>
      <c r="K84" s="2" t="s">
        <v>662</v>
      </c>
      <c r="L84" s="2" t="s">
        <v>662</v>
      </c>
      <c r="M84" s="2" t="s">
        <v>662</v>
      </c>
    </row>
    <row r="85">
      <c r="A85" s="3">
        <v>2.0</v>
      </c>
      <c r="B85" s="3">
        <v>3.0</v>
      </c>
      <c r="C85" s="2" t="s">
        <v>316</v>
      </c>
      <c r="D85" s="2" t="s">
        <v>858</v>
      </c>
      <c r="E85" s="2" t="s">
        <v>758</v>
      </c>
      <c r="F85" s="2">
        <v>39.17</v>
      </c>
      <c r="G85" s="2">
        <v>48.0</v>
      </c>
      <c r="H85" s="2">
        <v>52.22</v>
      </c>
      <c r="I85" s="2">
        <v>72.33</v>
      </c>
      <c r="J85" s="2">
        <v>39.17</v>
      </c>
      <c r="K85" s="2" t="s">
        <v>662</v>
      </c>
      <c r="L85" s="2" t="s">
        <v>662</v>
      </c>
      <c r="M85" s="2" t="s">
        <v>662</v>
      </c>
    </row>
    <row r="86">
      <c r="A86" s="3">
        <v>2.0</v>
      </c>
      <c r="B86" s="3">
        <v>4.0</v>
      </c>
      <c r="C86" s="2" t="s">
        <v>316</v>
      </c>
      <c r="D86" s="6" t="s">
        <v>1054</v>
      </c>
      <c r="E86" s="2" t="s">
        <v>696</v>
      </c>
      <c r="F86" s="1" t="s">
        <v>159</v>
      </c>
      <c r="G86" s="1" t="s">
        <v>159</v>
      </c>
      <c r="H86" s="1" t="s">
        <v>159</v>
      </c>
      <c r="I86" s="1" t="s">
        <v>159</v>
      </c>
      <c r="J86" s="2" t="s">
        <v>26</v>
      </c>
      <c r="K86" s="2" t="s">
        <v>662</v>
      </c>
      <c r="L86" s="2" t="s">
        <v>662</v>
      </c>
      <c r="M86" s="2" t="s">
        <v>662</v>
      </c>
    </row>
    <row r="87">
      <c r="A87" s="3">
        <v>2.0</v>
      </c>
      <c r="B87" s="3">
        <v>5.0</v>
      </c>
      <c r="C87" s="2" t="s">
        <v>316</v>
      </c>
      <c r="D87" s="2" t="s">
        <v>696</v>
      </c>
      <c r="E87" s="2" t="s">
        <v>863</v>
      </c>
      <c r="F87" s="1" t="s">
        <v>159</v>
      </c>
      <c r="G87" s="1" t="s">
        <v>159</v>
      </c>
      <c r="H87" s="1" t="s">
        <v>159</v>
      </c>
      <c r="I87" s="1" t="s">
        <v>159</v>
      </c>
      <c r="J87" s="2" t="s">
        <v>41</v>
      </c>
      <c r="K87" s="2" t="s">
        <v>662</v>
      </c>
      <c r="L87" s="2" t="s">
        <v>662</v>
      </c>
      <c r="M87" s="2" t="s">
        <v>662</v>
      </c>
    </row>
    <row r="88">
      <c r="A88" s="3">
        <v>2.0</v>
      </c>
      <c r="B88" s="3">
        <v>6.0</v>
      </c>
      <c r="C88" s="2" t="s">
        <v>316</v>
      </c>
      <c r="D88" s="1" t="s">
        <v>159</v>
      </c>
      <c r="E88" s="2" t="s">
        <v>865</v>
      </c>
      <c r="F88" s="1" t="s">
        <v>159</v>
      </c>
      <c r="G88" s="1" t="s">
        <v>159</v>
      </c>
      <c r="H88" s="1" t="s">
        <v>159</v>
      </c>
      <c r="I88" s="1" t="s">
        <v>159</v>
      </c>
      <c r="J88" s="2">
        <v>26.0</v>
      </c>
      <c r="K88" s="2" t="s">
        <v>662</v>
      </c>
      <c r="L88" s="2" t="s">
        <v>662</v>
      </c>
      <c r="M88" s="2" t="s">
        <v>662</v>
      </c>
    </row>
    <row r="89">
      <c r="A89" s="3">
        <v>2.0</v>
      </c>
      <c r="B89" s="3">
        <v>7.0</v>
      </c>
      <c r="C89" s="2" t="s">
        <v>316</v>
      </c>
      <c r="D89" s="6" t="s">
        <v>1057</v>
      </c>
      <c r="E89" s="2" t="s">
        <v>762</v>
      </c>
      <c r="F89" s="2">
        <v>34.0</v>
      </c>
      <c r="G89" s="2">
        <v>16.0</v>
      </c>
      <c r="H89" s="2">
        <v>15.0</v>
      </c>
      <c r="I89" s="2">
        <v>8.0</v>
      </c>
      <c r="J89" s="2" t="s">
        <v>26</v>
      </c>
      <c r="K89" s="2" t="s">
        <v>662</v>
      </c>
      <c r="L89" s="2" t="s">
        <v>662</v>
      </c>
      <c r="M89" s="2" t="s">
        <v>662</v>
      </c>
    </row>
    <row r="90">
      <c r="A90" s="3">
        <v>2.0</v>
      </c>
      <c r="B90" s="3">
        <v>8.0</v>
      </c>
      <c r="C90" s="2" t="s">
        <v>316</v>
      </c>
      <c r="D90" s="2" t="s">
        <v>869</v>
      </c>
      <c r="E90" s="2" t="s">
        <v>871</v>
      </c>
      <c r="F90" s="2">
        <v>9.0</v>
      </c>
      <c r="G90" s="2">
        <v>7.0</v>
      </c>
      <c r="H90" s="2">
        <v>5.0</v>
      </c>
      <c r="I90" s="2">
        <v>1.0</v>
      </c>
      <c r="J90" s="2" t="s">
        <v>41</v>
      </c>
      <c r="K90" s="2" t="s">
        <v>662</v>
      </c>
      <c r="L90" s="2" t="s">
        <v>662</v>
      </c>
      <c r="M90" s="2" t="s">
        <v>662</v>
      </c>
    </row>
    <row r="91">
      <c r="A91" s="3">
        <v>2.0</v>
      </c>
      <c r="B91" s="3">
        <v>9.0</v>
      </c>
      <c r="C91" s="2" t="s">
        <v>316</v>
      </c>
      <c r="D91" s="6" t="s">
        <v>1058</v>
      </c>
      <c r="E91" s="2" t="s">
        <v>875</v>
      </c>
      <c r="F91" s="8">
        <v>46227.0</v>
      </c>
      <c r="G91" s="2" t="s">
        <v>765</v>
      </c>
      <c r="H91" s="2">
        <v>17.0</v>
      </c>
      <c r="I91" s="2">
        <v>31.0</v>
      </c>
      <c r="J91" s="2" t="s">
        <v>41</v>
      </c>
      <c r="K91" s="2" t="s">
        <v>662</v>
      </c>
      <c r="L91" s="2" t="s">
        <v>662</v>
      </c>
      <c r="M91" s="2" t="s">
        <v>662</v>
      </c>
    </row>
    <row r="92">
      <c r="A92" s="3">
        <v>2.0</v>
      </c>
      <c r="B92" s="3">
        <v>10.0</v>
      </c>
      <c r="C92" s="2" t="s">
        <v>316</v>
      </c>
      <c r="D92" s="2" t="s">
        <v>766</v>
      </c>
      <c r="E92" s="2" t="s">
        <v>877</v>
      </c>
      <c r="F92" s="1" t="s">
        <v>159</v>
      </c>
      <c r="G92" s="1" t="s">
        <v>159</v>
      </c>
      <c r="H92" s="1" t="s">
        <v>159</v>
      </c>
      <c r="I92" s="1" t="s">
        <v>159</v>
      </c>
      <c r="J92" s="2">
        <v>11.0</v>
      </c>
      <c r="K92" s="2" t="s">
        <v>662</v>
      </c>
      <c r="L92" s="2" t="s">
        <v>662</v>
      </c>
      <c r="M92" s="2" t="s">
        <v>662</v>
      </c>
    </row>
    <row r="93">
      <c r="A93" s="3">
        <v>2.0</v>
      </c>
      <c r="B93" s="3">
        <v>11.0</v>
      </c>
      <c r="C93" s="2" t="s">
        <v>316</v>
      </c>
      <c r="D93" s="2" t="s">
        <v>879</v>
      </c>
      <c r="E93" s="2" t="s">
        <v>880</v>
      </c>
      <c r="F93" s="2" t="s">
        <v>881</v>
      </c>
      <c r="G93" s="2" t="s">
        <v>882</v>
      </c>
      <c r="H93" s="2" t="s">
        <v>885</v>
      </c>
      <c r="I93" s="2" t="s">
        <v>886</v>
      </c>
      <c r="J93" s="2" t="s">
        <v>26</v>
      </c>
      <c r="K93" s="2" t="s">
        <v>662</v>
      </c>
      <c r="L93" s="2" t="s">
        <v>662</v>
      </c>
      <c r="M93" s="2" t="s">
        <v>662</v>
      </c>
    </row>
    <row r="94">
      <c r="A94" s="3">
        <v>2.0</v>
      </c>
      <c r="B94" s="3">
        <v>12.0</v>
      </c>
      <c r="C94" s="2" t="s">
        <v>316</v>
      </c>
      <c r="D94" s="1" t="s">
        <v>159</v>
      </c>
      <c r="E94" s="2" t="s">
        <v>887</v>
      </c>
      <c r="F94" s="1" t="s">
        <v>159</v>
      </c>
      <c r="G94" s="1" t="s">
        <v>159</v>
      </c>
      <c r="H94" s="1" t="s">
        <v>159</v>
      </c>
      <c r="I94" s="1" t="s">
        <v>159</v>
      </c>
      <c r="J94" s="6" t="s">
        <v>1065</v>
      </c>
      <c r="K94" s="2" t="s">
        <v>662</v>
      </c>
      <c r="L94" s="2" t="s">
        <v>662</v>
      </c>
      <c r="M94" s="2" t="s">
        <v>662</v>
      </c>
    </row>
    <row r="95">
      <c r="A95" s="3">
        <v>2.0</v>
      </c>
      <c r="B95" s="3">
        <v>13.0</v>
      </c>
      <c r="C95" s="2" t="s">
        <v>316</v>
      </c>
      <c r="D95" s="1" t="s">
        <v>159</v>
      </c>
      <c r="E95" s="2" t="s">
        <v>777</v>
      </c>
      <c r="F95" s="2" t="s">
        <v>890</v>
      </c>
      <c r="G95" s="2" t="s">
        <v>891</v>
      </c>
      <c r="H95" s="2" t="s">
        <v>892</v>
      </c>
      <c r="I95" s="2" t="s">
        <v>893</v>
      </c>
      <c r="J95" s="2" t="s">
        <v>20</v>
      </c>
      <c r="K95" s="2" t="s">
        <v>662</v>
      </c>
      <c r="L95" s="2" t="s">
        <v>662</v>
      </c>
      <c r="M95" s="2" t="s">
        <v>662</v>
      </c>
    </row>
    <row r="96">
      <c r="A96" s="3">
        <v>2.0</v>
      </c>
      <c r="B96" s="3">
        <v>14.0</v>
      </c>
      <c r="C96" s="2" t="s">
        <v>316</v>
      </c>
      <c r="D96" s="1" t="s">
        <v>159</v>
      </c>
      <c r="E96" s="2" t="s">
        <v>783</v>
      </c>
      <c r="F96" s="2">
        <v>5.0</v>
      </c>
      <c r="G96" s="2">
        <v>4.0</v>
      </c>
      <c r="H96" s="2">
        <v>0.0</v>
      </c>
      <c r="I96" s="2">
        <v>-4.0</v>
      </c>
      <c r="J96" s="2" t="s">
        <v>41</v>
      </c>
      <c r="K96" s="2" t="s">
        <v>662</v>
      </c>
      <c r="L96" s="2" t="s">
        <v>662</v>
      </c>
      <c r="M96" s="2" t="s">
        <v>662</v>
      </c>
    </row>
    <row r="97">
      <c r="A97" s="3">
        <v>2.0</v>
      </c>
      <c r="B97" s="3">
        <v>15.0</v>
      </c>
      <c r="C97" s="2" t="s">
        <v>316</v>
      </c>
      <c r="D97" s="2" t="s">
        <v>895</v>
      </c>
      <c r="E97" s="2" t="s">
        <v>896</v>
      </c>
      <c r="F97" s="2">
        <v>-30.0</v>
      </c>
      <c r="G97" s="2">
        <v>-29.0</v>
      </c>
      <c r="H97" s="2">
        <v>-20.0</v>
      </c>
      <c r="I97" s="2">
        <v>-19.0</v>
      </c>
      <c r="J97" s="2" t="s">
        <v>41</v>
      </c>
      <c r="K97" s="2" t="s">
        <v>662</v>
      </c>
      <c r="L97" s="2" t="s">
        <v>662</v>
      </c>
      <c r="M97" s="2" t="s">
        <v>662</v>
      </c>
    </row>
    <row r="98">
      <c r="A98" s="3">
        <v>2.0</v>
      </c>
      <c r="B98" s="3">
        <v>16.0</v>
      </c>
      <c r="C98" s="2" t="s">
        <v>316</v>
      </c>
      <c r="D98" s="1" t="s">
        <v>159</v>
      </c>
      <c r="E98" s="6" t="s">
        <v>1070</v>
      </c>
      <c r="F98" s="1" t="s">
        <v>159</v>
      </c>
      <c r="G98" s="1" t="s">
        <v>159</v>
      </c>
      <c r="H98" s="1" t="s">
        <v>159</v>
      </c>
      <c r="I98" s="1" t="s">
        <v>159</v>
      </c>
      <c r="J98" s="2">
        <v>0.0</v>
      </c>
      <c r="K98" s="2" t="s">
        <v>662</v>
      </c>
      <c r="L98" s="2" t="s">
        <v>662</v>
      </c>
      <c r="M98" s="2" t="s">
        <v>662</v>
      </c>
    </row>
    <row r="99">
      <c r="A99" s="3">
        <v>2.0</v>
      </c>
      <c r="B99" s="3">
        <v>17.0</v>
      </c>
      <c r="C99" s="2" t="s">
        <v>316</v>
      </c>
      <c r="D99" s="2" t="s">
        <v>899</v>
      </c>
      <c r="E99" s="2" t="s">
        <v>900</v>
      </c>
      <c r="F99" s="2" t="s">
        <v>901</v>
      </c>
      <c r="G99" s="2" t="s">
        <v>902</v>
      </c>
      <c r="H99" s="2" t="s">
        <v>903</v>
      </c>
      <c r="I99" s="2" t="s">
        <v>904</v>
      </c>
      <c r="J99" s="2" t="s">
        <v>37</v>
      </c>
      <c r="K99" s="2" t="s">
        <v>662</v>
      </c>
      <c r="L99" s="2" t="s">
        <v>662</v>
      </c>
      <c r="M99" s="2" t="s">
        <v>662</v>
      </c>
    </row>
    <row r="100">
      <c r="A100" s="3">
        <v>2.0</v>
      </c>
      <c r="B100" s="3">
        <v>18.0</v>
      </c>
    </row>
    <row r="101">
      <c r="A101" s="3">
        <v>2.0</v>
      </c>
      <c r="B101" s="3">
        <v>19.0</v>
      </c>
    </row>
    <row r="102">
      <c r="A102" s="3">
        <v>2.0</v>
      </c>
      <c r="B102" s="3">
        <v>20.0</v>
      </c>
    </row>
    <row r="103">
      <c r="A103" s="3">
        <v>2.0</v>
      </c>
      <c r="B103" s="3">
        <v>21.0</v>
      </c>
    </row>
    <row r="104">
      <c r="A104" s="3">
        <v>2.0</v>
      </c>
      <c r="B104" s="3">
        <v>22.0</v>
      </c>
    </row>
    <row r="105">
      <c r="A105" s="3">
        <v>2.0</v>
      </c>
      <c r="B105" s="3">
        <v>23.0</v>
      </c>
    </row>
    <row r="106">
      <c r="A106" s="3">
        <v>2.0</v>
      </c>
      <c r="B106" s="3">
        <v>24.0</v>
      </c>
    </row>
    <row r="107">
      <c r="A107" s="3">
        <v>2.0</v>
      </c>
      <c r="B107" s="3">
        <v>25.0</v>
      </c>
    </row>
    <row r="108">
      <c r="A108" s="3">
        <v>2.0</v>
      </c>
      <c r="B108" s="3">
        <v>26.0</v>
      </c>
    </row>
    <row r="109">
      <c r="A109" s="3">
        <v>2.0</v>
      </c>
      <c r="B109" s="3">
        <v>27.0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c r="C1" s="2" t="s">
        <v>2</v>
      </c>
      <c r="D1" s="2" t="s">
        <v>3</v>
      </c>
      <c r="E1" s="2" t="s">
        <v>4</v>
      </c>
      <c r="F1" s="2" t="s">
        <v>5</v>
      </c>
      <c r="G1" s="2" t="s">
        <v>6</v>
      </c>
      <c r="H1" s="2" t="s">
        <v>7</v>
      </c>
      <c r="I1" s="2" t="s">
        <v>8</v>
      </c>
      <c r="J1" s="2" t="s">
        <v>9</v>
      </c>
      <c r="K1" s="2" t="s">
        <v>10</v>
      </c>
      <c r="L1" s="2" t="s">
        <v>11</v>
      </c>
      <c r="M1" s="2" t="s">
        <v>12</v>
      </c>
    </row>
    <row r="2">
      <c r="A2" s="3">
        <v>1.0</v>
      </c>
      <c r="B2" s="3">
        <v>1.0</v>
      </c>
      <c r="C2" s="2" t="s">
        <v>13</v>
      </c>
      <c r="D2" s="2" t="s">
        <v>218</v>
      </c>
      <c r="E2" s="2" t="s">
        <v>15</v>
      </c>
      <c r="F2" s="2" t="s">
        <v>220</v>
      </c>
      <c r="G2" s="2" t="s">
        <v>221</v>
      </c>
      <c r="H2" s="2" t="s">
        <v>222</v>
      </c>
      <c r="I2" s="2" t="s">
        <v>223</v>
      </c>
      <c r="J2" s="2" t="s">
        <v>20</v>
      </c>
    </row>
    <row r="3">
      <c r="A3" s="3">
        <v>1.0</v>
      </c>
      <c r="B3" s="3">
        <v>2.0</v>
      </c>
      <c r="C3" s="2" t="s">
        <v>13</v>
      </c>
      <c r="D3" s="4" t="s">
        <v>1000</v>
      </c>
      <c r="E3" s="2" t="s">
        <v>228</v>
      </c>
      <c r="F3" s="2" t="s">
        <v>230</v>
      </c>
      <c r="G3" s="2" t="s">
        <v>231</v>
      </c>
      <c r="H3" s="2" t="s">
        <v>233</v>
      </c>
      <c r="I3" s="2" t="s">
        <v>234</v>
      </c>
      <c r="J3" s="2" t="s">
        <v>41</v>
      </c>
    </row>
    <row r="4">
      <c r="A4" s="3">
        <v>1.0</v>
      </c>
      <c r="B4" s="3">
        <v>3.0</v>
      </c>
      <c r="C4" s="2" t="s">
        <v>13</v>
      </c>
      <c r="D4" s="2" t="s">
        <v>236</v>
      </c>
      <c r="E4" s="2" t="s">
        <v>15</v>
      </c>
      <c r="F4" s="2" t="s">
        <v>237</v>
      </c>
      <c r="G4" s="2" t="s">
        <v>239</v>
      </c>
      <c r="H4" s="2" t="s">
        <v>240</v>
      </c>
      <c r="I4" s="2" t="s">
        <v>242</v>
      </c>
      <c r="J4" s="2" t="s">
        <v>20</v>
      </c>
    </row>
    <row r="5">
      <c r="A5" s="3">
        <v>1.0</v>
      </c>
      <c r="B5" s="3">
        <v>4.0</v>
      </c>
      <c r="C5" s="2" t="s">
        <v>13</v>
      </c>
      <c r="D5" s="2" t="s">
        <v>421</v>
      </c>
      <c r="E5" s="2" t="s">
        <v>15</v>
      </c>
      <c r="F5" s="2" t="s">
        <v>248</v>
      </c>
      <c r="G5" s="2" t="s">
        <v>249</v>
      </c>
      <c r="H5" s="2" t="s">
        <v>250</v>
      </c>
      <c r="I5" s="2" t="s">
        <v>251</v>
      </c>
      <c r="J5" s="2" t="s">
        <v>251</v>
      </c>
    </row>
    <row r="6">
      <c r="A6" s="3">
        <v>1.0</v>
      </c>
      <c r="B6" s="3">
        <v>5.0</v>
      </c>
      <c r="C6" s="2" t="s">
        <v>13</v>
      </c>
      <c r="D6" s="4" t="s">
        <v>1001</v>
      </c>
      <c r="E6" s="2" t="s">
        <v>259</v>
      </c>
      <c r="F6" s="2" t="s">
        <v>260</v>
      </c>
      <c r="G6" s="2" t="s">
        <v>261</v>
      </c>
      <c r="H6" s="2" t="s">
        <v>262</v>
      </c>
      <c r="I6" s="2" t="s">
        <v>263</v>
      </c>
      <c r="J6" s="2" t="s">
        <v>262</v>
      </c>
    </row>
    <row r="7">
      <c r="A7" s="3">
        <v>1.0</v>
      </c>
      <c r="B7" s="3">
        <v>6.0</v>
      </c>
      <c r="C7" s="2" t="s">
        <v>13</v>
      </c>
      <c r="D7" s="2" t="s">
        <v>264</v>
      </c>
      <c r="E7" s="2" t="s">
        <v>75</v>
      </c>
      <c r="F7" s="2" t="s">
        <v>267</v>
      </c>
      <c r="G7" s="2" t="s">
        <v>269</v>
      </c>
      <c r="H7" s="2" t="s">
        <v>270</v>
      </c>
      <c r="I7" s="2" t="s">
        <v>272</v>
      </c>
      <c r="J7" s="2" t="s">
        <v>269</v>
      </c>
    </row>
    <row r="8">
      <c r="A8" s="3">
        <v>1.0</v>
      </c>
      <c r="B8" s="3">
        <v>7.0</v>
      </c>
      <c r="C8" s="2" t="s">
        <v>13</v>
      </c>
      <c r="D8" s="2" t="s">
        <v>275</v>
      </c>
      <c r="E8" s="2" t="s">
        <v>75</v>
      </c>
      <c r="F8" s="2" t="s">
        <v>1003</v>
      </c>
      <c r="G8" s="2" t="s">
        <v>1004</v>
      </c>
      <c r="H8" s="2" t="s">
        <v>1005</v>
      </c>
      <c r="I8" s="2" t="s">
        <v>1006</v>
      </c>
      <c r="J8" s="2" t="s">
        <v>1004</v>
      </c>
    </row>
    <row r="9">
      <c r="A9" s="3">
        <v>1.0</v>
      </c>
      <c r="B9" s="3">
        <v>8.0</v>
      </c>
      <c r="C9" s="2" t="s">
        <v>13</v>
      </c>
      <c r="D9" s="1" t="s">
        <v>159</v>
      </c>
      <c r="E9" s="2" t="s">
        <v>1007</v>
      </c>
      <c r="F9" s="2" t="s">
        <v>1007</v>
      </c>
      <c r="G9" s="2" t="s">
        <v>1008</v>
      </c>
      <c r="H9" s="2" t="s">
        <v>1009</v>
      </c>
      <c r="I9" s="2" t="s">
        <v>1010</v>
      </c>
      <c r="J9" s="2" t="s">
        <v>20</v>
      </c>
    </row>
    <row r="10">
      <c r="A10" s="3">
        <v>1.0</v>
      </c>
      <c r="B10" s="3">
        <v>9.0</v>
      </c>
      <c r="C10" s="2" t="s">
        <v>13</v>
      </c>
      <c r="D10" s="2" t="s">
        <v>281</v>
      </c>
      <c r="E10" s="2" t="s">
        <v>86</v>
      </c>
      <c r="F10" s="2" t="s">
        <v>284</v>
      </c>
      <c r="G10" s="2" t="s">
        <v>286</v>
      </c>
      <c r="H10" s="2" t="s">
        <v>287</v>
      </c>
      <c r="I10" s="2" t="s">
        <v>288</v>
      </c>
      <c r="J10" s="2" t="s">
        <v>26</v>
      </c>
    </row>
    <row r="11">
      <c r="A11" s="3">
        <v>1.0</v>
      </c>
      <c r="B11" s="3">
        <v>10.0</v>
      </c>
      <c r="C11" s="2" t="s">
        <v>13</v>
      </c>
      <c r="D11" s="2" t="s">
        <v>289</v>
      </c>
      <c r="E11" s="2" t="s">
        <v>290</v>
      </c>
      <c r="F11" s="2" t="s">
        <v>292</v>
      </c>
      <c r="G11" s="2" t="s">
        <v>293</v>
      </c>
      <c r="H11" s="2" t="s">
        <v>294</v>
      </c>
      <c r="I11" s="2" t="s">
        <v>296</v>
      </c>
      <c r="J11" s="2" t="s">
        <v>41</v>
      </c>
    </row>
    <row r="12">
      <c r="A12" s="3">
        <v>1.0</v>
      </c>
      <c r="B12" s="3">
        <v>11.0</v>
      </c>
      <c r="C12" s="2" t="s">
        <v>13</v>
      </c>
      <c r="D12" s="2" t="s">
        <v>493</v>
      </c>
      <c r="E12" s="2" t="s">
        <v>301</v>
      </c>
      <c r="F12" s="2" t="s">
        <v>302</v>
      </c>
      <c r="G12" s="2" t="s">
        <v>303</v>
      </c>
      <c r="H12" s="2" t="s">
        <v>304</v>
      </c>
      <c r="I12" s="2" t="s">
        <v>305</v>
      </c>
      <c r="J12" s="2" t="s">
        <v>41</v>
      </c>
    </row>
    <row r="13">
      <c r="A13" s="3">
        <v>1.0</v>
      </c>
      <c r="B13" s="3">
        <v>12.0</v>
      </c>
      <c r="C13" s="2" t="s">
        <v>13</v>
      </c>
      <c r="D13" s="2" t="s">
        <v>503</v>
      </c>
      <c r="E13" s="2" t="s">
        <v>308</v>
      </c>
      <c r="F13" s="2" t="s">
        <v>309</v>
      </c>
      <c r="G13" s="2" t="s">
        <v>310</v>
      </c>
      <c r="H13" s="2" t="s">
        <v>311</v>
      </c>
      <c r="I13" s="2" t="s">
        <v>313</v>
      </c>
      <c r="J13" s="2" t="s">
        <v>41</v>
      </c>
    </row>
    <row r="14">
      <c r="A14" s="3">
        <v>1.0</v>
      </c>
      <c r="B14" s="3">
        <v>13.0</v>
      </c>
      <c r="C14" s="2" t="s">
        <v>13</v>
      </c>
      <c r="D14" s="2" t="s">
        <v>1012</v>
      </c>
      <c r="E14" s="2" t="s">
        <v>1013</v>
      </c>
      <c r="F14" s="2" t="s">
        <v>319</v>
      </c>
      <c r="G14" s="2" t="s">
        <v>320</v>
      </c>
      <c r="H14" s="2" t="s">
        <v>321</v>
      </c>
      <c r="I14" s="2" t="s">
        <v>322</v>
      </c>
      <c r="J14" s="2" t="s">
        <v>20</v>
      </c>
    </row>
    <row r="15">
      <c r="A15" s="3">
        <v>1.0</v>
      </c>
      <c r="B15" s="3">
        <v>14.0</v>
      </c>
      <c r="C15" s="2" t="s">
        <v>13</v>
      </c>
      <c r="D15" s="2" t="s">
        <v>554</v>
      </c>
      <c r="E15" s="2" t="s">
        <v>558</v>
      </c>
      <c r="F15" s="1" t="s">
        <v>159</v>
      </c>
      <c r="G15" s="1" t="s">
        <v>159</v>
      </c>
      <c r="H15" s="1" t="s">
        <v>159</v>
      </c>
      <c r="I15" s="1" t="s">
        <v>159</v>
      </c>
      <c r="J15" s="2" t="s">
        <v>41</v>
      </c>
    </row>
    <row r="16">
      <c r="A16" s="3">
        <v>1.0</v>
      </c>
      <c r="B16" s="3">
        <v>15.0</v>
      </c>
      <c r="C16" s="2" t="s">
        <v>13</v>
      </c>
      <c r="D16" s="1" t="s">
        <v>159</v>
      </c>
      <c r="E16" s="2" t="s">
        <v>331</v>
      </c>
      <c r="F16" s="2" t="s">
        <v>1014</v>
      </c>
      <c r="G16" s="2" t="s">
        <v>1015</v>
      </c>
      <c r="H16" s="2" t="s">
        <v>1016</v>
      </c>
      <c r="I16" s="2" t="s">
        <v>1017</v>
      </c>
      <c r="J16" s="2" t="s">
        <v>26</v>
      </c>
    </row>
    <row r="17">
      <c r="A17" s="3">
        <v>1.0</v>
      </c>
      <c r="B17" s="3">
        <v>16.0</v>
      </c>
      <c r="C17" s="2" t="s">
        <v>13</v>
      </c>
      <c r="D17" s="2" t="s">
        <v>574</v>
      </c>
      <c r="E17" s="2" t="s">
        <v>161</v>
      </c>
      <c r="F17" s="2" t="s">
        <v>338</v>
      </c>
      <c r="G17" s="2" t="s">
        <v>339</v>
      </c>
      <c r="H17" s="2" t="s">
        <v>340</v>
      </c>
      <c r="I17" s="2" t="s">
        <v>342</v>
      </c>
      <c r="J17" s="2" t="s">
        <v>37</v>
      </c>
    </row>
    <row r="18">
      <c r="A18" s="3">
        <v>1.0</v>
      </c>
      <c r="B18" s="3">
        <v>17.0</v>
      </c>
      <c r="C18" s="2" t="s">
        <v>13</v>
      </c>
      <c r="D18" s="2" t="s">
        <v>585</v>
      </c>
      <c r="E18" s="2" t="s">
        <v>161</v>
      </c>
      <c r="F18" s="2" t="s">
        <v>348</v>
      </c>
      <c r="G18" s="2" t="s">
        <v>349</v>
      </c>
      <c r="H18" s="2" t="s">
        <v>350</v>
      </c>
      <c r="I18" s="2" t="s">
        <v>351</v>
      </c>
      <c r="J18" s="2" t="s">
        <v>26</v>
      </c>
    </row>
    <row r="19">
      <c r="A19" s="3">
        <v>1.0</v>
      </c>
      <c r="B19" s="3">
        <v>18.0</v>
      </c>
      <c r="C19" s="2" t="s">
        <v>13</v>
      </c>
      <c r="D19" s="2" t="s">
        <v>354</v>
      </c>
      <c r="E19" s="2" t="s">
        <v>168</v>
      </c>
      <c r="F19" s="2" t="s">
        <v>356</v>
      </c>
      <c r="G19" s="2" t="s">
        <v>358</v>
      </c>
      <c r="H19" s="2" t="s">
        <v>359</v>
      </c>
      <c r="I19" s="2" t="s">
        <v>361</v>
      </c>
      <c r="J19" s="2" t="s">
        <v>26</v>
      </c>
    </row>
    <row r="20">
      <c r="A20" s="3">
        <v>1.0</v>
      </c>
      <c r="B20" s="3">
        <v>19.0</v>
      </c>
      <c r="C20" s="2" t="s">
        <v>13</v>
      </c>
      <c r="D20" s="2" t="s">
        <v>364</v>
      </c>
      <c r="E20" s="2" t="s">
        <v>168</v>
      </c>
      <c r="F20" s="2" t="s">
        <v>365</v>
      </c>
      <c r="G20" s="2" t="s">
        <v>366</v>
      </c>
      <c r="H20" s="2" t="s">
        <v>367</v>
      </c>
      <c r="I20" s="2" t="s">
        <v>369</v>
      </c>
      <c r="J20" s="2" t="s">
        <v>20</v>
      </c>
    </row>
    <row r="21">
      <c r="A21" s="3">
        <v>1.0</v>
      </c>
      <c r="B21" s="3">
        <v>20.0</v>
      </c>
      <c r="C21" s="2" t="s">
        <v>13</v>
      </c>
      <c r="D21" s="2" t="s">
        <v>375</v>
      </c>
      <c r="E21" s="2" t="s">
        <v>168</v>
      </c>
      <c r="F21" s="2" t="s">
        <v>376</v>
      </c>
      <c r="G21" s="2" t="s">
        <v>377</v>
      </c>
      <c r="H21" s="2" t="s">
        <v>378</v>
      </c>
      <c r="I21" s="2" t="s">
        <v>379</v>
      </c>
      <c r="J21" s="2" t="s">
        <v>20</v>
      </c>
    </row>
    <row r="22">
      <c r="A22" s="3">
        <v>1.0</v>
      </c>
      <c r="B22" s="3">
        <v>21.0</v>
      </c>
      <c r="C22" s="2" t="s">
        <v>13</v>
      </c>
      <c r="D22" s="2" t="s">
        <v>382</v>
      </c>
      <c r="E22" s="2" t="s">
        <v>168</v>
      </c>
      <c r="F22" s="2" t="s">
        <v>384</v>
      </c>
      <c r="G22" s="2" t="s">
        <v>386</v>
      </c>
      <c r="H22" s="2" t="s">
        <v>387</v>
      </c>
      <c r="I22" s="2" t="s">
        <v>390</v>
      </c>
      <c r="J22" s="2" t="s">
        <v>41</v>
      </c>
    </row>
    <row r="23">
      <c r="A23" s="3">
        <v>1.0</v>
      </c>
      <c r="B23" s="3">
        <v>22.0</v>
      </c>
      <c r="C23" s="2" t="s">
        <v>13</v>
      </c>
      <c r="D23" s="2" t="s">
        <v>392</v>
      </c>
      <c r="E23" s="2" t="s">
        <v>168</v>
      </c>
      <c r="F23" s="2" t="s">
        <v>393</v>
      </c>
      <c r="G23" s="2" t="s">
        <v>395</v>
      </c>
      <c r="H23" s="2" t="s">
        <v>396</v>
      </c>
      <c r="I23" s="2" t="s">
        <v>398</v>
      </c>
      <c r="J23" s="2" t="s">
        <v>41</v>
      </c>
    </row>
    <row r="24">
      <c r="A24" s="3">
        <v>1.0</v>
      </c>
      <c r="B24" s="3">
        <v>23.0</v>
      </c>
      <c r="C24" s="2" t="s">
        <v>13</v>
      </c>
      <c r="D24" s="2" t="s">
        <v>404</v>
      </c>
      <c r="E24" s="2" t="s">
        <v>168</v>
      </c>
      <c r="F24" s="2" t="s">
        <v>405</v>
      </c>
      <c r="G24" s="2" t="s">
        <v>406</v>
      </c>
      <c r="H24" s="2" t="s">
        <v>407</v>
      </c>
      <c r="I24" s="2" t="s">
        <v>408</v>
      </c>
      <c r="J24" s="2" t="s">
        <v>41</v>
      </c>
    </row>
    <row r="25">
      <c r="A25" s="3">
        <v>1.0</v>
      </c>
      <c r="B25" s="3">
        <v>24.0</v>
      </c>
      <c r="C25" s="2" t="s">
        <v>13</v>
      </c>
      <c r="D25" s="2" t="s">
        <v>414</v>
      </c>
      <c r="E25" s="2" t="s">
        <v>196</v>
      </c>
      <c r="F25" s="2" t="s">
        <v>416</v>
      </c>
      <c r="G25" s="2" t="s">
        <v>417</v>
      </c>
      <c r="H25" s="2" t="s">
        <v>418</v>
      </c>
      <c r="I25" s="2" t="s">
        <v>419</v>
      </c>
      <c r="J25" s="2" t="s">
        <v>41</v>
      </c>
    </row>
    <row r="26">
      <c r="A26" s="3">
        <v>1.0</v>
      </c>
      <c r="B26" s="3">
        <v>25.0</v>
      </c>
      <c r="C26" s="2" t="s">
        <v>13</v>
      </c>
      <c r="D26" s="2" t="s">
        <v>422</v>
      </c>
      <c r="E26" s="2" t="s">
        <v>196</v>
      </c>
      <c r="F26" s="2" t="s">
        <v>423</v>
      </c>
      <c r="G26" s="2" t="s">
        <v>424</v>
      </c>
      <c r="H26" s="1" t="s">
        <v>159</v>
      </c>
      <c r="I26" s="1" t="s">
        <v>159</v>
      </c>
      <c r="J26" s="2" t="s">
        <v>20</v>
      </c>
    </row>
    <row r="27">
      <c r="A27" s="3">
        <v>1.0</v>
      </c>
      <c r="B27" s="3">
        <v>26.0</v>
      </c>
      <c r="C27" s="2" t="s">
        <v>13</v>
      </c>
      <c r="D27" s="2" t="s">
        <v>431</v>
      </c>
      <c r="E27" s="2" t="s">
        <v>432</v>
      </c>
      <c r="F27" s="2" t="s">
        <v>433</v>
      </c>
      <c r="G27" s="2" t="s">
        <v>434</v>
      </c>
      <c r="H27" s="2" t="s">
        <v>436</v>
      </c>
      <c r="I27" s="2" t="s">
        <v>439</v>
      </c>
      <c r="J27" s="2" t="s">
        <v>37</v>
      </c>
    </row>
    <row r="28">
      <c r="A28" s="3">
        <v>1.0</v>
      </c>
      <c r="B28" s="3">
        <v>27.0</v>
      </c>
      <c r="C28" s="2" t="s">
        <v>13</v>
      </c>
      <c r="D28" s="2" t="s">
        <v>444</v>
      </c>
      <c r="E28" s="2" t="s">
        <v>445</v>
      </c>
      <c r="F28" s="2" t="s">
        <v>446</v>
      </c>
      <c r="G28" s="2" t="s">
        <v>650</v>
      </c>
      <c r="H28" s="2" t="s">
        <v>448</v>
      </c>
      <c r="I28" s="2" t="s">
        <v>449</v>
      </c>
      <c r="J28" s="2" t="s">
        <v>26</v>
      </c>
    </row>
    <row r="29">
      <c r="A29" s="3">
        <v>2.0</v>
      </c>
      <c r="B29" s="3">
        <v>1.0</v>
      </c>
      <c r="C29" s="2" t="s">
        <v>13</v>
      </c>
      <c r="D29" s="2" t="s">
        <v>455</v>
      </c>
      <c r="E29" s="2" t="s">
        <v>1024</v>
      </c>
      <c r="F29" s="2" t="s">
        <v>1025</v>
      </c>
      <c r="G29" s="2" t="s">
        <v>1026</v>
      </c>
      <c r="H29" s="2" t="s">
        <v>1027</v>
      </c>
      <c r="I29" s="2" t="s">
        <v>1028</v>
      </c>
      <c r="J29" s="2" t="s">
        <v>26</v>
      </c>
    </row>
    <row r="30">
      <c r="A30" s="3">
        <v>2.0</v>
      </c>
      <c r="B30" s="3">
        <v>2.0</v>
      </c>
      <c r="C30" s="2" t="s">
        <v>13</v>
      </c>
      <c r="D30" s="2" t="s">
        <v>468</v>
      </c>
      <c r="E30" s="2" t="s">
        <v>471</v>
      </c>
      <c r="F30" s="2" t="s">
        <v>472</v>
      </c>
      <c r="G30" s="2" t="s">
        <v>473</v>
      </c>
      <c r="H30" s="2" t="s">
        <v>244</v>
      </c>
      <c r="I30" s="2" t="s">
        <v>474</v>
      </c>
      <c r="J30" s="2" t="s">
        <v>20</v>
      </c>
    </row>
    <row r="31">
      <c r="A31" s="3">
        <v>2.0</v>
      </c>
      <c r="B31" s="3">
        <v>3.0</v>
      </c>
      <c r="C31" s="2" t="s">
        <v>13</v>
      </c>
      <c r="D31" s="2" t="s">
        <v>667</v>
      </c>
      <c r="E31" s="2" t="s">
        <v>476</v>
      </c>
      <c r="F31" s="2" t="s">
        <v>478</v>
      </c>
      <c r="G31" s="2" t="s">
        <v>479</v>
      </c>
      <c r="H31" s="2" t="s">
        <v>480</v>
      </c>
      <c r="I31" s="2" t="s">
        <v>481</v>
      </c>
      <c r="J31" s="2" t="s">
        <v>41</v>
      </c>
    </row>
    <row r="32">
      <c r="A32" s="3">
        <v>2.0</v>
      </c>
      <c r="B32" s="3">
        <v>4.0</v>
      </c>
      <c r="C32" s="2" t="s">
        <v>13</v>
      </c>
      <c r="D32" s="1" t="s">
        <v>159</v>
      </c>
      <c r="E32" s="2" t="s">
        <v>482</v>
      </c>
      <c r="F32" s="2" t="s">
        <v>483</v>
      </c>
      <c r="G32" s="2" t="s">
        <v>678</v>
      </c>
      <c r="H32" s="2" t="s">
        <v>680</v>
      </c>
      <c r="I32" s="2" t="s">
        <v>1031</v>
      </c>
      <c r="J32" s="2" t="s">
        <v>26</v>
      </c>
    </row>
    <row r="33">
      <c r="A33" s="3">
        <v>2.0</v>
      </c>
      <c r="B33" s="3">
        <v>5.0</v>
      </c>
      <c r="C33" s="2" t="s">
        <v>13</v>
      </c>
      <c r="D33" s="2" t="s">
        <v>491</v>
      </c>
      <c r="E33" s="2" t="s">
        <v>15</v>
      </c>
      <c r="F33" s="2" t="s">
        <v>492</v>
      </c>
      <c r="G33" s="2" t="s">
        <v>494</v>
      </c>
      <c r="H33" s="2" t="s">
        <v>495</v>
      </c>
      <c r="I33" s="2" t="s">
        <v>496</v>
      </c>
      <c r="J33" s="2" t="s">
        <v>41</v>
      </c>
    </row>
    <row r="34">
      <c r="A34" s="3">
        <v>2.0</v>
      </c>
      <c r="B34" s="3">
        <v>6.0</v>
      </c>
      <c r="C34" s="2" t="s">
        <v>13</v>
      </c>
      <c r="D34" s="4" t="s">
        <v>1035</v>
      </c>
      <c r="E34" s="2" t="s">
        <v>504</v>
      </c>
      <c r="F34" s="2" t="s">
        <v>505</v>
      </c>
      <c r="G34" s="2" t="s">
        <v>506</v>
      </c>
      <c r="H34" s="2" t="s">
        <v>507</v>
      </c>
      <c r="I34" s="2" t="s">
        <v>509</v>
      </c>
      <c r="J34" s="2" t="s">
        <v>20</v>
      </c>
    </row>
    <row r="35">
      <c r="A35" s="3">
        <v>2.0</v>
      </c>
      <c r="B35" s="3">
        <v>7.0</v>
      </c>
      <c r="C35" s="2" t="s">
        <v>13</v>
      </c>
      <c r="D35" s="2" t="s">
        <v>514</v>
      </c>
      <c r="E35" s="2" t="s">
        <v>15</v>
      </c>
      <c r="F35" s="2" t="s">
        <v>515</v>
      </c>
      <c r="G35" s="2" t="s">
        <v>516</v>
      </c>
      <c r="H35" s="2" t="s">
        <v>518</v>
      </c>
      <c r="I35" s="2" t="s">
        <v>519</v>
      </c>
      <c r="J35" s="2" t="s">
        <v>26</v>
      </c>
    </row>
    <row r="36">
      <c r="A36" s="3">
        <v>2.0</v>
      </c>
      <c r="B36" s="3">
        <v>8.0</v>
      </c>
      <c r="C36" s="2" t="s">
        <v>13</v>
      </c>
      <c r="D36" s="2" t="s">
        <v>1037</v>
      </c>
      <c r="E36" s="2" t="s">
        <v>117</v>
      </c>
      <c r="F36" s="2" t="s">
        <v>526</v>
      </c>
      <c r="G36" s="2" t="s">
        <v>528</v>
      </c>
      <c r="H36" s="2" t="s">
        <v>529</v>
      </c>
      <c r="I36" s="2" t="s">
        <v>531</v>
      </c>
      <c r="J36" s="2" t="s">
        <v>41</v>
      </c>
    </row>
    <row r="37">
      <c r="A37" s="3">
        <v>2.0</v>
      </c>
      <c r="B37" s="3">
        <v>9.0</v>
      </c>
      <c r="C37" s="2" t="s">
        <v>13</v>
      </c>
      <c r="D37" s="2" t="s">
        <v>1038</v>
      </c>
      <c r="E37" s="2" t="s">
        <v>1040</v>
      </c>
      <c r="F37" s="2" t="s">
        <v>539</v>
      </c>
      <c r="G37" s="2" t="s">
        <v>540</v>
      </c>
      <c r="H37" s="2" t="s">
        <v>542</v>
      </c>
      <c r="I37" s="2" t="s">
        <v>545</v>
      </c>
      <c r="J37" s="2" t="s">
        <v>37</v>
      </c>
    </row>
    <row r="38">
      <c r="A38" s="3">
        <v>2.0</v>
      </c>
      <c r="B38" s="3">
        <v>10.0</v>
      </c>
      <c r="C38" s="2" t="s">
        <v>13</v>
      </c>
      <c r="D38" s="2" t="s">
        <v>548</v>
      </c>
      <c r="E38" s="2" t="s">
        <v>549</v>
      </c>
      <c r="F38" s="2" t="s">
        <v>551</v>
      </c>
      <c r="G38" s="2" t="s">
        <v>552</v>
      </c>
      <c r="H38" s="2" t="s">
        <v>556</v>
      </c>
      <c r="I38" s="2" t="s">
        <v>557</v>
      </c>
      <c r="J38" s="2" t="s">
        <v>41</v>
      </c>
    </row>
    <row r="39">
      <c r="A39" s="3">
        <v>2.0</v>
      </c>
      <c r="B39" s="3">
        <v>11.0</v>
      </c>
      <c r="C39" s="2" t="s">
        <v>13</v>
      </c>
      <c r="D39" s="2" t="s">
        <v>560</v>
      </c>
      <c r="E39" s="2" t="s">
        <v>563</v>
      </c>
      <c r="F39" s="2" t="s">
        <v>565</v>
      </c>
      <c r="G39" s="2" t="s">
        <v>567</v>
      </c>
      <c r="H39" s="2" t="s">
        <v>568</v>
      </c>
      <c r="I39" s="2" t="s">
        <v>569</v>
      </c>
      <c r="J39" s="2" t="s">
        <v>20</v>
      </c>
    </row>
    <row r="40">
      <c r="A40" s="3">
        <v>2.0</v>
      </c>
      <c r="B40" s="3">
        <v>12.0</v>
      </c>
      <c r="C40" s="2" t="s">
        <v>13</v>
      </c>
      <c r="D40" s="2" t="s">
        <v>1043</v>
      </c>
      <c r="E40" s="2" t="s">
        <v>579</v>
      </c>
      <c r="F40" s="2" t="s">
        <v>581</v>
      </c>
      <c r="G40" s="2" t="s">
        <v>582</v>
      </c>
      <c r="H40" s="2" t="s">
        <v>583</v>
      </c>
      <c r="I40" s="2" t="s">
        <v>584</v>
      </c>
      <c r="J40" s="2" t="s">
        <v>26</v>
      </c>
    </row>
    <row r="41">
      <c r="A41" s="3">
        <v>2.0</v>
      </c>
      <c r="B41" s="3">
        <v>13.0</v>
      </c>
      <c r="C41" s="2" t="s">
        <v>13</v>
      </c>
      <c r="D41" s="2" t="s">
        <v>586</v>
      </c>
      <c r="E41" s="2" t="s">
        <v>587</v>
      </c>
      <c r="F41" s="2" t="s">
        <v>588</v>
      </c>
      <c r="G41" s="2" t="s">
        <v>590</v>
      </c>
      <c r="H41" s="2" t="s">
        <v>591</v>
      </c>
      <c r="I41" s="2" t="s">
        <v>593</v>
      </c>
      <c r="J41" s="2" t="s">
        <v>26</v>
      </c>
    </row>
    <row r="42">
      <c r="A42" s="3">
        <v>2.0</v>
      </c>
      <c r="B42" s="3">
        <v>14.0</v>
      </c>
      <c r="C42" s="2" t="s">
        <v>13</v>
      </c>
      <c r="D42" s="2" t="s">
        <v>597</v>
      </c>
      <c r="E42" s="2" t="s">
        <v>598</v>
      </c>
      <c r="F42" s="2" t="s">
        <v>599</v>
      </c>
      <c r="G42" s="2" t="s">
        <v>1045</v>
      </c>
      <c r="H42" s="2" t="s">
        <v>1046</v>
      </c>
      <c r="I42" s="2" t="s">
        <v>1047</v>
      </c>
      <c r="J42" s="2" t="s">
        <v>20</v>
      </c>
    </row>
    <row r="43">
      <c r="A43" s="3">
        <v>2.0</v>
      </c>
      <c r="B43" s="3">
        <v>15.0</v>
      </c>
      <c r="C43" s="2" t="s">
        <v>13</v>
      </c>
      <c r="D43" s="2" t="s">
        <v>1049</v>
      </c>
      <c r="E43" s="2" t="s">
        <v>1050</v>
      </c>
      <c r="F43" s="2" t="s">
        <v>602</v>
      </c>
      <c r="G43" s="1" t="s">
        <v>159</v>
      </c>
      <c r="H43" s="1" t="s">
        <v>159</v>
      </c>
      <c r="I43" s="1" t="s">
        <v>159</v>
      </c>
      <c r="J43" s="2" t="s">
        <v>20</v>
      </c>
    </row>
    <row r="44">
      <c r="A44" s="3">
        <v>2.0</v>
      </c>
      <c r="B44" s="3">
        <v>16.0</v>
      </c>
      <c r="C44" s="2" t="s">
        <v>13</v>
      </c>
      <c r="D44" s="2" t="s">
        <v>603</v>
      </c>
      <c r="E44" s="2" t="s">
        <v>161</v>
      </c>
      <c r="F44" s="2" t="s">
        <v>604</v>
      </c>
      <c r="G44" s="2" t="s">
        <v>605</v>
      </c>
      <c r="H44" s="2" t="s">
        <v>729</v>
      </c>
      <c r="I44" s="2" t="s">
        <v>607</v>
      </c>
      <c r="J44" s="2" t="s">
        <v>41</v>
      </c>
    </row>
    <row r="45">
      <c r="A45" s="3">
        <v>2.0</v>
      </c>
      <c r="B45" s="3">
        <v>17.0</v>
      </c>
      <c r="C45" s="2" t="s">
        <v>13</v>
      </c>
      <c r="D45" s="2" t="s">
        <v>608</v>
      </c>
      <c r="E45" s="2" t="s">
        <v>161</v>
      </c>
      <c r="F45" s="2" t="s">
        <v>609</v>
      </c>
      <c r="G45" s="2" t="s">
        <v>610</v>
      </c>
      <c r="H45" s="2" t="s">
        <v>611</v>
      </c>
      <c r="I45" s="2" t="s">
        <v>612</v>
      </c>
      <c r="J45" s="2" t="s">
        <v>41</v>
      </c>
    </row>
    <row r="46">
      <c r="A46" s="3">
        <v>2.0</v>
      </c>
      <c r="B46" s="3">
        <v>18.0</v>
      </c>
      <c r="C46" s="2" t="s">
        <v>13</v>
      </c>
      <c r="D46" s="2" t="s">
        <v>613</v>
      </c>
      <c r="E46" s="2" t="s">
        <v>161</v>
      </c>
      <c r="F46" s="2" t="s">
        <v>614</v>
      </c>
      <c r="G46" s="2" t="s">
        <v>615</v>
      </c>
      <c r="H46" s="2" t="s">
        <v>617</v>
      </c>
      <c r="I46" s="2" t="s">
        <v>618</v>
      </c>
      <c r="J46" s="2" t="s">
        <v>41</v>
      </c>
    </row>
    <row r="47">
      <c r="A47" s="3">
        <v>2.0</v>
      </c>
      <c r="B47" s="3">
        <v>19.0</v>
      </c>
      <c r="C47" s="2" t="s">
        <v>13</v>
      </c>
      <c r="D47" s="2" t="s">
        <v>619</v>
      </c>
      <c r="E47" s="2" t="s">
        <v>168</v>
      </c>
      <c r="F47" s="2" t="s">
        <v>620</v>
      </c>
      <c r="G47" s="2" t="s">
        <v>621</v>
      </c>
      <c r="H47" s="2" t="s">
        <v>622</v>
      </c>
      <c r="I47" s="2" t="s">
        <v>623</v>
      </c>
      <c r="J47" s="2" t="s">
        <v>41</v>
      </c>
    </row>
    <row r="48">
      <c r="A48" s="3">
        <v>2.0</v>
      </c>
      <c r="B48" s="3">
        <v>20.0</v>
      </c>
      <c r="C48" s="2" t="s">
        <v>13</v>
      </c>
      <c r="D48" s="2" t="s">
        <v>624</v>
      </c>
      <c r="E48" s="2" t="s">
        <v>168</v>
      </c>
      <c r="F48" s="2" t="s">
        <v>625</v>
      </c>
      <c r="G48" s="2" t="s">
        <v>627</v>
      </c>
      <c r="H48" s="2" t="s">
        <v>626</v>
      </c>
      <c r="I48" s="2" t="s">
        <v>628</v>
      </c>
      <c r="J48" s="2" t="s">
        <v>26</v>
      </c>
    </row>
    <row r="49">
      <c r="A49" s="3">
        <v>2.0</v>
      </c>
      <c r="B49" s="3">
        <v>21.0</v>
      </c>
      <c r="C49" s="2" t="s">
        <v>13</v>
      </c>
      <c r="D49" s="2" t="s">
        <v>629</v>
      </c>
      <c r="E49" s="2" t="s">
        <v>168</v>
      </c>
      <c r="F49" s="2" t="s">
        <v>630</v>
      </c>
      <c r="G49" s="2" t="s">
        <v>631</v>
      </c>
      <c r="H49" s="2" t="s">
        <v>632</v>
      </c>
      <c r="I49" s="2" t="s">
        <v>633</v>
      </c>
      <c r="J49" s="2" t="s">
        <v>37</v>
      </c>
    </row>
    <row r="50">
      <c r="A50" s="3">
        <v>2.0</v>
      </c>
      <c r="B50" s="3">
        <v>22.0</v>
      </c>
      <c r="C50" s="2" t="s">
        <v>13</v>
      </c>
      <c r="D50" s="2" t="s">
        <v>634</v>
      </c>
      <c r="E50" s="2" t="s">
        <v>168</v>
      </c>
      <c r="F50" s="2" t="s">
        <v>635</v>
      </c>
      <c r="G50" s="2" t="s">
        <v>636</v>
      </c>
      <c r="H50" s="2" t="s">
        <v>637</v>
      </c>
      <c r="I50" s="2" t="s">
        <v>638</v>
      </c>
      <c r="J50" s="2" t="s">
        <v>41</v>
      </c>
    </row>
    <row r="51">
      <c r="A51" s="3">
        <v>2.0</v>
      </c>
      <c r="B51" s="3">
        <v>23.0</v>
      </c>
      <c r="C51" s="2" t="s">
        <v>13</v>
      </c>
      <c r="D51" s="2" t="s">
        <v>639</v>
      </c>
      <c r="E51" s="2" t="s">
        <v>168</v>
      </c>
      <c r="F51" s="2" t="s">
        <v>640</v>
      </c>
      <c r="G51" s="2" t="s">
        <v>384</v>
      </c>
      <c r="H51" s="2" t="s">
        <v>641</v>
      </c>
      <c r="I51" s="2" t="s">
        <v>386</v>
      </c>
      <c r="J51" s="2" t="s">
        <v>26</v>
      </c>
    </row>
    <row r="52">
      <c r="A52" s="3">
        <v>2.0</v>
      </c>
      <c r="B52" s="3">
        <v>24.0</v>
      </c>
      <c r="C52" s="2" t="s">
        <v>13</v>
      </c>
      <c r="D52" s="2" t="s">
        <v>644</v>
      </c>
      <c r="E52" s="2" t="s">
        <v>168</v>
      </c>
      <c r="F52" s="2" t="s">
        <v>1060</v>
      </c>
      <c r="G52" s="2">
        <v>1714.0</v>
      </c>
      <c r="H52" s="2" t="s">
        <v>1061</v>
      </c>
      <c r="I52" s="2" t="s">
        <v>1062</v>
      </c>
      <c r="J52" s="2" t="s">
        <v>41</v>
      </c>
    </row>
    <row r="53">
      <c r="A53" s="3">
        <v>2.0</v>
      </c>
      <c r="B53" s="3">
        <v>25.0</v>
      </c>
      <c r="C53" s="2" t="s">
        <v>13</v>
      </c>
      <c r="D53" s="2" t="s">
        <v>646</v>
      </c>
      <c r="E53" s="2" t="s">
        <v>196</v>
      </c>
      <c r="F53" s="2" t="s">
        <v>561</v>
      </c>
      <c r="G53" s="2" t="s">
        <v>562</v>
      </c>
      <c r="H53" s="2" t="s">
        <v>566</v>
      </c>
      <c r="I53" s="2" t="s">
        <v>564</v>
      </c>
      <c r="J53" s="2" t="s">
        <v>1064</v>
      </c>
    </row>
    <row r="54">
      <c r="A54" s="3">
        <v>2.0</v>
      </c>
      <c r="B54" s="3">
        <v>26.0</v>
      </c>
      <c r="C54" s="2" t="s">
        <v>13</v>
      </c>
      <c r="D54" s="2" t="s">
        <v>647</v>
      </c>
      <c r="E54" s="2" t="s">
        <v>196</v>
      </c>
      <c r="F54" s="2" t="s">
        <v>562</v>
      </c>
      <c r="G54" s="2" t="s">
        <v>203</v>
      </c>
      <c r="H54" s="2" t="s">
        <v>649</v>
      </c>
      <c r="I54" s="2" t="s">
        <v>561</v>
      </c>
      <c r="J54" s="2" t="s">
        <v>1066</v>
      </c>
    </row>
    <row r="55">
      <c r="A55" s="3">
        <v>2.0</v>
      </c>
      <c r="B55" s="3">
        <v>27.0</v>
      </c>
      <c r="C55" s="2" t="s">
        <v>13</v>
      </c>
      <c r="D55" s="2" t="s">
        <v>651</v>
      </c>
      <c r="E55" s="2" t="s">
        <v>196</v>
      </c>
      <c r="F55" s="2" t="s">
        <v>198</v>
      </c>
      <c r="G55" s="2" t="s">
        <v>652</v>
      </c>
      <c r="H55" s="2" t="s">
        <v>561</v>
      </c>
      <c r="I55" s="2" t="s">
        <v>653</v>
      </c>
      <c r="J55" s="2" t="s">
        <v>1067</v>
      </c>
    </row>
    <row r="56">
      <c r="A56" s="3">
        <v>1.0</v>
      </c>
      <c r="B56" s="3">
        <v>1.0</v>
      </c>
      <c r="C56" s="2" t="s">
        <v>13</v>
      </c>
      <c r="D56" s="2" t="s">
        <v>659</v>
      </c>
      <c r="E56" s="2" t="s">
        <v>196</v>
      </c>
      <c r="F56" s="2" t="s">
        <v>580</v>
      </c>
      <c r="G56" s="2" t="s">
        <v>660</v>
      </c>
      <c r="H56" s="2" t="s">
        <v>204</v>
      </c>
      <c r="I56" s="2" t="s">
        <v>577</v>
      </c>
      <c r="J56" s="2" t="s">
        <v>1069</v>
      </c>
    </row>
    <row r="57">
      <c r="A57" s="3">
        <v>1.0</v>
      </c>
      <c r="B57" s="3">
        <v>2.0</v>
      </c>
      <c r="C57" s="2" t="s">
        <v>13</v>
      </c>
      <c r="D57" s="1" t="s">
        <v>159</v>
      </c>
      <c r="E57" s="2" t="s">
        <v>196</v>
      </c>
      <c r="F57" s="2" t="s">
        <v>664</v>
      </c>
      <c r="G57" s="2" t="s">
        <v>197</v>
      </c>
      <c r="H57" s="2" t="s">
        <v>665</v>
      </c>
      <c r="I57" s="2" t="s">
        <v>666</v>
      </c>
      <c r="J57" s="2" t="s">
        <v>20</v>
      </c>
    </row>
    <row r="58">
      <c r="A58" s="3">
        <v>1.0</v>
      </c>
      <c r="B58" s="3">
        <v>3.0</v>
      </c>
      <c r="C58" s="2" t="s">
        <v>13</v>
      </c>
      <c r="D58" s="2" t="s">
        <v>668</v>
      </c>
      <c r="E58" s="2" t="s">
        <v>196</v>
      </c>
      <c r="F58" s="2" t="s">
        <v>564</v>
      </c>
      <c r="G58" s="2" t="s">
        <v>669</v>
      </c>
      <c r="H58" s="2" t="s">
        <v>670</v>
      </c>
      <c r="I58" s="2" t="s">
        <v>671</v>
      </c>
      <c r="J58" s="2" t="s">
        <v>20</v>
      </c>
    </row>
    <row r="59">
      <c r="A59" s="3">
        <v>1.0</v>
      </c>
      <c r="B59" s="3">
        <v>4.0</v>
      </c>
      <c r="C59" s="2" t="s">
        <v>13</v>
      </c>
      <c r="D59" s="2" t="s">
        <v>672</v>
      </c>
      <c r="E59" s="2" t="s">
        <v>673</v>
      </c>
      <c r="F59" s="2" t="s">
        <v>674</v>
      </c>
      <c r="G59" s="2" t="s">
        <v>675</v>
      </c>
      <c r="H59" s="2" t="s">
        <v>676</v>
      </c>
      <c r="I59" s="2" t="s">
        <v>677</v>
      </c>
      <c r="J59" s="2" t="s">
        <v>20</v>
      </c>
    </row>
    <row r="60">
      <c r="A60" s="3">
        <v>1.0</v>
      </c>
      <c r="B60" s="3">
        <v>5.0</v>
      </c>
      <c r="C60" s="2" t="s">
        <v>316</v>
      </c>
      <c r="D60" s="1" t="s">
        <v>159</v>
      </c>
      <c r="E60" s="2" t="s">
        <v>681</v>
      </c>
      <c r="F60" s="1" t="s">
        <v>159</v>
      </c>
      <c r="G60" s="1" t="s">
        <v>159</v>
      </c>
      <c r="H60" s="1" t="s">
        <v>159</v>
      </c>
      <c r="I60" s="1" t="s">
        <v>159</v>
      </c>
      <c r="J60" s="2">
        <v>602.0</v>
      </c>
    </row>
    <row r="61">
      <c r="A61" s="3">
        <v>1.0</v>
      </c>
      <c r="B61" s="3">
        <v>6.0</v>
      </c>
      <c r="C61" s="2" t="s">
        <v>316</v>
      </c>
      <c r="D61" s="2" t="s">
        <v>1078</v>
      </c>
      <c r="E61" s="2" t="s">
        <v>683</v>
      </c>
      <c r="F61" s="2" t="s">
        <v>684</v>
      </c>
      <c r="G61" s="2" t="s">
        <v>685</v>
      </c>
      <c r="H61" s="8">
        <v>46026.0</v>
      </c>
      <c r="I61" s="8">
        <v>46213.0</v>
      </c>
      <c r="J61" s="2" t="s">
        <v>26</v>
      </c>
    </row>
    <row r="62">
      <c r="A62" s="3">
        <v>1.0</v>
      </c>
      <c r="B62" s="3">
        <v>7.0</v>
      </c>
      <c r="C62" s="2" t="s">
        <v>316</v>
      </c>
      <c r="D62" s="1" t="s">
        <v>159</v>
      </c>
      <c r="E62" s="2" t="s">
        <v>1079</v>
      </c>
      <c r="F62" s="2">
        <v>-3.0</v>
      </c>
      <c r="G62" s="2">
        <v>15.0</v>
      </c>
      <c r="H62" s="2">
        <v>18.0</v>
      </c>
      <c r="I62" s="2">
        <v>21.0</v>
      </c>
      <c r="J62" s="2" t="s">
        <v>26</v>
      </c>
    </row>
    <row r="63">
      <c r="A63" s="3">
        <v>1.0</v>
      </c>
      <c r="B63" s="3">
        <v>8.0</v>
      </c>
      <c r="C63" s="2" t="s">
        <v>316</v>
      </c>
      <c r="D63" s="1" t="s">
        <v>159</v>
      </c>
      <c r="E63" s="2" t="s">
        <v>688</v>
      </c>
      <c r="F63" s="1" t="s">
        <v>159</v>
      </c>
      <c r="G63" s="1" t="s">
        <v>159</v>
      </c>
      <c r="H63" s="1" t="s">
        <v>159</v>
      </c>
      <c r="I63" s="1" t="s">
        <v>159</v>
      </c>
      <c r="J63" s="2">
        <v>654.0</v>
      </c>
    </row>
    <row r="64">
      <c r="A64" s="3">
        <v>1.0</v>
      </c>
      <c r="B64" s="3">
        <v>9.0</v>
      </c>
      <c r="C64" s="2" t="s">
        <v>316</v>
      </c>
      <c r="D64" s="1" t="s">
        <v>159</v>
      </c>
      <c r="E64" s="2" t="s">
        <v>689</v>
      </c>
      <c r="F64" s="1" t="s">
        <v>159</v>
      </c>
      <c r="G64" s="1" t="s">
        <v>159</v>
      </c>
      <c r="H64" s="1" t="s">
        <v>159</v>
      </c>
      <c r="I64" s="1" t="s">
        <v>159</v>
      </c>
      <c r="J64" s="2">
        <v>5900.0</v>
      </c>
    </row>
    <row r="65">
      <c r="A65" s="3">
        <v>1.0</v>
      </c>
      <c r="B65" s="3">
        <v>10.0</v>
      </c>
      <c r="C65" s="2" t="s">
        <v>316</v>
      </c>
      <c r="D65" s="1" t="s">
        <v>159</v>
      </c>
      <c r="E65" s="2" t="s">
        <v>690</v>
      </c>
      <c r="F65" s="1" t="s">
        <v>159</v>
      </c>
      <c r="G65" s="1" t="s">
        <v>159</v>
      </c>
      <c r="H65" s="1" t="s">
        <v>159</v>
      </c>
      <c r="I65" s="1" t="s">
        <v>159</v>
      </c>
      <c r="J65" s="2">
        <v>1.2</v>
      </c>
    </row>
    <row r="66">
      <c r="A66" s="3">
        <v>1.0</v>
      </c>
      <c r="B66" s="3">
        <v>11.0</v>
      </c>
      <c r="C66" s="2" t="s">
        <v>316</v>
      </c>
      <c r="D66" s="1" t="s">
        <v>159</v>
      </c>
      <c r="E66" s="2" t="s">
        <v>692</v>
      </c>
      <c r="F66" s="2">
        <v>64.0</v>
      </c>
      <c r="G66" s="2">
        <v>81.0</v>
      </c>
      <c r="H66" s="2">
        <v>258.0</v>
      </c>
      <c r="I66" s="2">
        <v>384.0</v>
      </c>
      <c r="J66" s="2" t="s">
        <v>41</v>
      </c>
    </row>
    <row r="67">
      <c r="A67" s="3">
        <v>1.0</v>
      </c>
      <c r="B67" s="3">
        <v>12.0</v>
      </c>
      <c r="C67" s="2" t="s">
        <v>316</v>
      </c>
      <c r="D67" s="2" t="s">
        <v>791</v>
      </c>
      <c r="E67" s="1" t="s">
        <v>159</v>
      </c>
      <c r="F67" s="2" t="s">
        <v>1080</v>
      </c>
      <c r="G67" s="2" t="s">
        <v>1080</v>
      </c>
      <c r="H67" s="2" t="s">
        <v>1080</v>
      </c>
      <c r="I67" s="2" t="s">
        <v>1080</v>
      </c>
      <c r="J67" s="2" t="s">
        <v>26</v>
      </c>
    </row>
    <row r="68">
      <c r="A68" s="3">
        <v>1.0</v>
      </c>
      <c r="B68" s="3">
        <v>13.0</v>
      </c>
      <c r="C68" s="2" t="s">
        <v>316</v>
      </c>
      <c r="D68" s="1" t="s">
        <v>159</v>
      </c>
      <c r="E68" s="2" t="s">
        <v>1081</v>
      </c>
      <c r="F68" s="2" t="s">
        <v>1080</v>
      </c>
      <c r="G68" s="2" t="s">
        <v>1080</v>
      </c>
      <c r="H68" s="2" t="s">
        <v>1080</v>
      </c>
      <c r="I68" s="2" t="s">
        <v>1080</v>
      </c>
      <c r="J68" s="6" t="s">
        <v>1082</v>
      </c>
    </row>
    <row r="69">
      <c r="A69" s="3">
        <v>1.0</v>
      </c>
      <c r="B69" s="3">
        <v>14.0</v>
      </c>
      <c r="C69" s="2" t="s">
        <v>316</v>
      </c>
      <c r="D69" s="2" t="s">
        <v>699</v>
      </c>
      <c r="E69" s="2" t="s">
        <v>700</v>
      </c>
      <c r="F69" s="1" t="s">
        <v>159</v>
      </c>
      <c r="G69" s="1" t="s">
        <v>159</v>
      </c>
      <c r="H69" s="1" t="s">
        <v>159</v>
      </c>
      <c r="I69" s="1" t="s">
        <v>159</v>
      </c>
      <c r="J69" s="2">
        <v>208.0</v>
      </c>
    </row>
    <row r="70">
      <c r="A70" s="3">
        <v>1.0</v>
      </c>
      <c r="B70" s="3">
        <v>15.0</v>
      </c>
      <c r="C70" s="2" t="s">
        <v>316</v>
      </c>
      <c r="D70" s="2" t="s">
        <v>1083</v>
      </c>
      <c r="E70" s="1" t="s">
        <v>159</v>
      </c>
      <c r="F70" s="1" t="s">
        <v>159</v>
      </c>
      <c r="G70" s="1" t="s">
        <v>159</v>
      </c>
      <c r="H70" s="1" t="s">
        <v>159</v>
      </c>
      <c r="I70" s="1" t="s">
        <v>159</v>
      </c>
      <c r="J70" s="2">
        <v>15.0</v>
      </c>
    </row>
    <row r="71">
      <c r="A71" s="3">
        <v>1.0</v>
      </c>
      <c r="B71" s="3">
        <v>16.0</v>
      </c>
      <c r="C71" s="2" t="s">
        <v>316</v>
      </c>
      <c r="D71" s="2" t="s">
        <v>1084</v>
      </c>
      <c r="E71" s="2" t="s">
        <v>708</v>
      </c>
      <c r="F71" s="2">
        <v>40.0</v>
      </c>
      <c r="G71" s="2">
        <v>20.0</v>
      </c>
      <c r="H71" s="2">
        <v>10.0</v>
      </c>
      <c r="I71" s="6" t="s">
        <v>1085</v>
      </c>
      <c r="J71" s="2">
        <v>20.0</v>
      </c>
    </row>
    <row r="72">
      <c r="A72" s="3">
        <v>1.0</v>
      </c>
      <c r="B72" s="3">
        <v>17.0</v>
      </c>
      <c r="C72" s="2" t="s">
        <v>316</v>
      </c>
      <c r="D72" s="1" t="s">
        <v>159</v>
      </c>
      <c r="E72" s="2" t="s">
        <v>710</v>
      </c>
      <c r="F72" s="2" t="s">
        <v>711</v>
      </c>
      <c r="G72" s="8">
        <v>46048.0</v>
      </c>
      <c r="H72" s="2" t="s">
        <v>712</v>
      </c>
      <c r="I72" s="2" t="s">
        <v>713</v>
      </c>
      <c r="J72" s="2" t="s">
        <v>712</v>
      </c>
    </row>
    <row r="73">
      <c r="A73" s="3">
        <v>1.0</v>
      </c>
      <c r="B73" s="3">
        <v>18.0</v>
      </c>
      <c r="C73" s="2" t="s">
        <v>316</v>
      </c>
      <c r="D73" s="6" t="s">
        <v>1086</v>
      </c>
      <c r="E73" s="2" t="s">
        <v>1087</v>
      </c>
      <c r="F73" s="2" t="s">
        <v>818</v>
      </c>
      <c r="G73" s="2" t="s">
        <v>820</v>
      </c>
      <c r="H73" s="2" t="s">
        <v>725</v>
      </c>
      <c r="I73" s="2" t="s">
        <v>781</v>
      </c>
      <c r="J73" s="2" t="s">
        <v>1088</v>
      </c>
    </row>
    <row r="74">
      <c r="A74" s="3">
        <v>1.0</v>
      </c>
      <c r="B74" s="3">
        <v>19.0</v>
      </c>
      <c r="C74" s="2" t="s">
        <v>316</v>
      </c>
      <c r="D74" s="1" t="s">
        <v>159</v>
      </c>
      <c r="E74" s="2" t="s">
        <v>1089</v>
      </c>
      <c r="F74" s="2" t="s">
        <v>717</v>
      </c>
      <c r="G74" s="2" t="s">
        <v>718</v>
      </c>
      <c r="H74" s="2" t="s">
        <v>719</v>
      </c>
      <c r="I74" s="2" t="s">
        <v>720</v>
      </c>
      <c r="J74" s="2" t="s">
        <v>1090</v>
      </c>
    </row>
    <row r="75">
      <c r="A75" s="3">
        <v>1.0</v>
      </c>
      <c r="B75" s="3">
        <v>20.0</v>
      </c>
      <c r="C75" s="2" t="s">
        <v>316</v>
      </c>
      <c r="D75" s="1" t="s">
        <v>159</v>
      </c>
      <c r="E75" s="2" t="s">
        <v>1091</v>
      </c>
      <c r="F75" s="2" t="s">
        <v>723</v>
      </c>
      <c r="G75" s="2" t="s">
        <v>724</v>
      </c>
      <c r="H75" s="2" t="s">
        <v>725</v>
      </c>
      <c r="I75" s="2" t="s">
        <v>726</v>
      </c>
      <c r="J75" s="2" t="s">
        <v>726</v>
      </c>
    </row>
    <row r="76">
      <c r="A76" s="3">
        <v>1.0</v>
      </c>
      <c r="B76" s="3">
        <v>21.0</v>
      </c>
      <c r="C76" s="2" t="s">
        <v>316</v>
      </c>
      <c r="D76" s="1" t="s">
        <v>159</v>
      </c>
      <c r="E76" s="2" t="s">
        <v>728</v>
      </c>
      <c r="F76" s="1" t="s">
        <v>159</v>
      </c>
      <c r="G76" s="1" t="s">
        <v>159</v>
      </c>
      <c r="H76" s="1" t="s">
        <v>159</v>
      </c>
      <c r="I76" s="1" t="s">
        <v>159</v>
      </c>
      <c r="J76" s="2">
        <v>10.0</v>
      </c>
    </row>
    <row r="77">
      <c r="A77" s="3">
        <v>1.0</v>
      </c>
      <c r="B77" s="3">
        <v>22.0</v>
      </c>
      <c r="C77" s="2" t="s">
        <v>316</v>
      </c>
      <c r="D77" s="2" t="s">
        <v>1092</v>
      </c>
      <c r="E77" s="2" t="s">
        <v>832</v>
      </c>
      <c r="F77" s="2" t="s">
        <v>732</v>
      </c>
      <c r="G77" s="2" t="s">
        <v>733</v>
      </c>
      <c r="H77" s="2" t="s">
        <v>734</v>
      </c>
      <c r="I77" s="2" t="s">
        <v>735</v>
      </c>
      <c r="J77" s="2" t="s">
        <v>732</v>
      </c>
    </row>
    <row r="78">
      <c r="A78" s="3">
        <v>1.0</v>
      </c>
      <c r="B78" s="3">
        <v>23.0</v>
      </c>
      <c r="C78" s="2" t="s">
        <v>316</v>
      </c>
      <c r="D78" s="2" t="s">
        <v>1093</v>
      </c>
      <c r="E78" s="2" t="s">
        <v>1094</v>
      </c>
      <c r="F78" s="2" t="s">
        <v>1080</v>
      </c>
      <c r="G78" s="2" t="s">
        <v>1080</v>
      </c>
      <c r="H78" s="2" t="s">
        <v>1080</v>
      </c>
      <c r="I78" s="2" t="s">
        <v>1080</v>
      </c>
      <c r="J78" s="2" t="s">
        <v>1095</v>
      </c>
    </row>
    <row r="79">
      <c r="A79" s="3">
        <v>1.0</v>
      </c>
      <c r="B79" s="3">
        <v>24.0</v>
      </c>
      <c r="C79" s="2" t="s">
        <v>316</v>
      </c>
      <c r="D79" s="6" t="s">
        <v>1096</v>
      </c>
      <c r="E79" s="2" t="s">
        <v>741</v>
      </c>
      <c r="F79" s="2">
        <v>1.0</v>
      </c>
      <c r="G79" s="2">
        <v>9.0</v>
      </c>
      <c r="H79" s="2">
        <v>15.0</v>
      </c>
      <c r="I79" s="2">
        <v>21.0</v>
      </c>
      <c r="J79" s="2">
        <v>15.0</v>
      </c>
    </row>
    <row r="80">
      <c r="A80" s="3">
        <v>1.0</v>
      </c>
      <c r="B80" s="3">
        <v>25.0</v>
      </c>
      <c r="C80" s="2" t="s">
        <v>316</v>
      </c>
      <c r="D80" s="1" t="s">
        <v>159</v>
      </c>
      <c r="E80" s="2" t="s">
        <v>743</v>
      </c>
      <c r="F80" s="1" t="s">
        <v>159</v>
      </c>
      <c r="G80" s="1" t="s">
        <v>159</v>
      </c>
      <c r="H80" s="1" t="s">
        <v>159</v>
      </c>
      <c r="I80" s="1" t="s">
        <v>159</v>
      </c>
      <c r="J80" s="2">
        <v>339.5</v>
      </c>
    </row>
    <row r="81">
      <c r="A81" s="3">
        <v>1.0</v>
      </c>
      <c r="B81" s="3">
        <v>26.0</v>
      </c>
      <c r="C81" s="2" t="s">
        <v>316</v>
      </c>
      <c r="D81" s="2" t="s">
        <v>844</v>
      </c>
      <c r="E81" s="1" t="s">
        <v>159</v>
      </c>
      <c r="F81" s="2" t="s">
        <v>1080</v>
      </c>
      <c r="G81" s="2" t="s">
        <v>1080</v>
      </c>
      <c r="H81" s="2" t="s">
        <v>1080</v>
      </c>
      <c r="I81" s="2" t="s">
        <v>1080</v>
      </c>
      <c r="J81" s="2" t="s">
        <v>1098</v>
      </c>
    </row>
    <row r="82">
      <c r="A82" s="3">
        <v>1.0</v>
      </c>
      <c r="B82" s="3">
        <v>27.0</v>
      </c>
      <c r="C82" s="2" t="s">
        <v>316</v>
      </c>
      <c r="D82" s="1" t="s">
        <v>159</v>
      </c>
      <c r="E82" s="2" t="s">
        <v>1099</v>
      </c>
      <c r="F82" s="2" t="s">
        <v>848</v>
      </c>
      <c r="G82" s="2" t="s">
        <v>849</v>
      </c>
      <c r="H82" s="2" t="s">
        <v>850</v>
      </c>
      <c r="I82" s="2" t="s">
        <v>851</v>
      </c>
      <c r="J82" s="2" t="s">
        <v>41</v>
      </c>
    </row>
    <row r="83">
      <c r="A83" s="3">
        <v>2.0</v>
      </c>
      <c r="B83" s="3">
        <v>1.0</v>
      </c>
      <c r="C83" s="2" t="s">
        <v>316</v>
      </c>
      <c r="D83" s="2" t="s">
        <v>749</v>
      </c>
      <c r="E83" s="2" t="s">
        <v>750</v>
      </c>
      <c r="F83" s="2" t="s">
        <v>751</v>
      </c>
      <c r="G83" s="2" t="s">
        <v>752</v>
      </c>
      <c r="H83" s="2" t="s">
        <v>753</v>
      </c>
      <c r="I83" s="2" t="s">
        <v>754</v>
      </c>
      <c r="J83" s="2" t="s">
        <v>37</v>
      </c>
    </row>
    <row r="84">
      <c r="A84" s="3">
        <v>2.0</v>
      </c>
      <c r="B84" s="3">
        <v>2.0</v>
      </c>
      <c r="C84" s="2" t="s">
        <v>316</v>
      </c>
      <c r="D84" s="1" t="s">
        <v>159</v>
      </c>
      <c r="E84" s="2" t="s">
        <v>755</v>
      </c>
      <c r="F84" s="2">
        <v>3.0</v>
      </c>
      <c r="G84" s="2">
        <v>7.0</v>
      </c>
      <c r="H84" s="2">
        <v>32.0</v>
      </c>
      <c r="I84" s="2">
        <v>40.0</v>
      </c>
      <c r="J84" s="2" t="s">
        <v>26</v>
      </c>
    </row>
    <row r="85">
      <c r="A85" s="3">
        <v>2.0</v>
      </c>
      <c r="B85" s="3">
        <v>3.0</v>
      </c>
      <c r="C85" s="2" t="s">
        <v>316</v>
      </c>
      <c r="D85" s="2" t="s">
        <v>1112</v>
      </c>
      <c r="E85" s="2" t="s">
        <v>758</v>
      </c>
      <c r="F85" s="2">
        <v>39.17</v>
      </c>
      <c r="G85" s="2">
        <v>48.0</v>
      </c>
      <c r="H85" s="2">
        <v>52.22</v>
      </c>
      <c r="I85" s="2">
        <v>72.33</v>
      </c>
      <c r="J85" s="2">
        <v>39.17</v>
      </c>
    </row>
    <row r="86">
      <c r="A86" s="3">
        <v>2.0</v>
      </c>
      <c r="B86" s="3">
        <v>4.0</v>
      </c>
      <c r="C86" s="2" t="s">
        <v>316</v>
      </c>
      <c r="D86" s="1" t="s">
        <v>159</v>
      </c>
      <c r="E86" s="6" t="s">
        <v>1113</v>
      </c>
      <c r="F86" s="2" t="s">
        <v>1080</v>
      </c>
      <c r="G86" s="2" t="s">
        <v>1080</v>
      </c>
      <c r="H86" s="2" t="s">
        <v>1080</v>
      </c>
      <c r="I86" s="2" t="s">
        <v>1080</v>
      </c>
      <c r="J86" s="2" t="s">
        <v>26</v>
      </c>
    </row>
    <row r="87">
      <c r="A87" s="3">
        <v>2.0</v>
      </c>
      <c r="B87" s="3">
        <v>5.0</v>
      </c>
      <c r="C87" s="2" t="s">
        <v>316</v>
      </c>
      <c r="D87" s="2" t="s">
        <v>696</v>
      </c>
      <c r="E87" s="2" t="s">
        <v>1115</v>
      </c>
      <c r="F87" s="1" t="s">
        <v>159</v>
      </c>
      <c r="G87" s="1" t="s">
        <v>159</v>
      </c>
      <c r="H87" s="1" t="s">
        <v>159</v>
      </c>
      <c r="I87" s="1" t="s">
        <v>159</v>
      </c>
      <c r="J87" s="2" t="s">
        <v>41</v>
      </c>
    </row>
    <row r="88">
      <c r="A88" s="3">
        <v>2.0</v>
      </c>
      <c r="B88" s="3">
        <v>6.0</v>
      </c>
      <c r="C88" s="2" t="s">
        <v>316</v>
      </c>
      <c r="D88" s="1" t="s">
        <v>159</v>
      </c>
      <c r="E88" s="2" t="s">
        <v>865</v>
      </c>
      <c r="F88" s="1" t="s">
        <v>159</v>
      </c>
      <c r="G88" s="1" t="s">
        <v>159</v>
      </c>
      <c r="H88" s="1" t="s">
        <v>159</v>
      </c>
      <c r="I88" s="1" t="s">
        <v>159</v>
      </c>
      <c r="J88" s="2">
        <v>52.0</v>
      </c>
    </row>
    <row r="89">
      <c r="A89" s="3">
        <v>2.0</v>
      </c>
      <c r="B89" s="3">
        <v>7.0</v>
      </c>
      <c r="C89" s="2" t="s">
        <v>316</v>
      </c>
      <c r="D89" s="6" t="s">
        <v>1117</v>
      </c>
      <c r="E89" s="2" t="s">
        <v>762</v>
      </c>
      <c r="F89" s="2">
        <v>34.0</v>
      </c>
      <c r="G89" s="2">
        <v>16.0</v>
      </c>
      <c r="H89" s="2">
        <v>15.0</v>
      </c>
      <c r="I89" s="2">
        <v>8.0</v>
      </c>
      <c r="J89" s="2" t="s">
        <v>20</v>
      </c>
    </row>
    <row r="90">
      <c r="A90" s="3">
        <v>2.0</v>
      </c>
      <c r="B90" s="3">
        <v>8.0</v>
      </c>
      <c r="C90" s="2" t="s">
        <v>316</v>
      </c>
      <c r="D90" s="2" t="s">
        <v>869</v>
      </c>
      <c r="E90" s="2" t="s">
        <v>1119</v>
      </c>
      <c r="F90" s="2">
        <v>9.0</v>
      </c>
      <c r="G90" s="2">
        <v>7.0</v>
      </c>
      <c r="H90" s="2">
        <v>5.0</v>
      </c>
      <c r="I90" s="2">
        <v>1.0</v>
      </c>
      <c r="J90" s="2" t="s">
        <v>26</v>
      </c>
    </row>
    <row r="91">
      <c r="A91" s="3">
        <v>2.0</v>
      </c>
      <c r="B91" s="3">
        <v>9.0</v>
      </c>
      <c r="C91" s="2" t="s">
        <v>316</v>
      </c>
      <c r="D91" s="1" t="s">
        <v>159</v>
      </c>
      <c r="E91" s="6" t="s">
        <v>1122</v>
      </c>
      <c r="F91" s="8">
        <v>46227.0</v>
      </c>
      <c r="G91" s="2" t="s">
        <v>765</v>
      </c>
      <c r="H91" s="2">
        <v>17.0</v>
      </c>
      <c r="I91" s="2">
        <v>31.0</v>
      </c>
      <c r="J91" s="2" t="s">
        <v>41</v>
      </c>
    </row>
    <row r="92">
      <c r="A92" s="3">
        <v>2.0</v>
      </c>
      <c r="B92" s="3">
        <v>10.0</v>
      </c>
      <c r="C92" s="2" t="s">
        <v>316</v>
      </c>
      <c r="D92" s="2" t="s">
        <v>766</v>
      </c>
      <c r="E92" s="2" t="s">
        <v>877</v>
      </c>
      <c r="F92" s="1" t="s">
        <v>159</v>
      </c>
      <c r="G92" s="1" t="s">
        <v>159</v>
      </c>
      <c r="H92" s="1" t="s">
        <v>159</v>
      </c>
      <c r="I92" s="1" t="s">
        <v>159</v>
      </c>
      <c r="J92" s="2">
        <v>11.0</v>
      </c>
    </row>
    <row r="93">
      <c r="A93" s="3">
        <v>2.0</v>
      </c>
      <c r="B93" s="3">
        <v>11.0</v>
      </c>
      <c r="C93" s="2" t="s">
        <v>316</v>
      </c>
      <c r="D93" s="2" t="s">
        <v>1124</v>
      </c>
      <c r="E93" s="2" t="s">
        <v>1125</v>
      </c>
      <c r="F93" s="2" t="s">
        <v>881</v>
      </c>
      <c r="G93" s="2" t="s">
        <v>882</v>
      </c>
      <c r="H93" s="2" t="s">
        <v>885</v>
      </c>
      <c r="I93" s="2" t="s">
        <v>886</v>
      </c>
      <c r="J93" s="2" t="s">
        <v>26</v>
      </c>
    </row>
    <row r="94">
      <c r="A94" s="3">
        <v>2.0</v>
      </c>
      <c r="B94" s="3">
        <v>12.0</v>
      </c>
      <c r="C94" s="2" t="s">
        <v>316</v>
      </c>
      <c r="D94" s="1" t="s">
        <v>159</v>
      </c>
      <c r="E94" s="2" t="s">
        <v>1129</v>
      </c>
      <c r="F94" s="6" t="s">
        <v>1132</v>
      </c>
      <c r="G94" s="1" t="s">
        <v>159</v>
      </c>
      <c r="H94" s="1" t="s">
        <v>159</v>
      </c>
      <c r="I94" s="1" t="s">
        <v>159</v>
      </c>
      <c r="J94" s="2" t="s">
        <v>20</v>
      </c>
    </row>
    <row r="95">
      <c r="A95" s="3">
        <v>2.0</v>
      </c>
      <c r="B95" s="3">
        <v>13.0</v>
      </c>
      <c r="C95" s="2" t="s">
        <v>316</v>
      </c>
      <c r="D95" s="1" t="s">
        <v>159</v>
      </c>
      <c r="E95" s="2" t="s">
        <v>1138</v>
      </c>
      <c r="F95" s="2" t="s">
        <v>778</v>
      </c>
      <c r="G95" s="2" t="s">
        <v>779</v>
      </c>
      <c r="H95" s="2" t="s">
        <v>780</v>
      </c>
      <c r="I95" s="2" t="s">
        <v>781</v>
      </c>
      <c r="J95" s="2" t="s">
        <v>20</v>
      </c>
    </row>
    <row r="96">
      <c r="A96" s="3">
        <v>2.0</v>
      </c>
      <c r="B96" s="3">
        <v>14.0</v>
      </c>
      <c r="C96" s="2" t="s">
        <v>316</v>
      </c>
      <c r="D96" s="1" t="s">
        <v>159</v>
      </c>
      <c r="E96" s="2" t="s">
        <v>1139</v>
      </c>
      <c r="F96" s="2">
        <v>5.0</v>
      </c>
      <c r="G96" s="2">
        <v>4.0</v>
      </c>
      <c r="H96" s="2">
        <v>0.0</v>
      </c>
      <c r="I96" s="2">
        <v>-4.0</v>
      </c>
      <c r="J96" s="2" t="s">
        <v>41</v>
      </c>
    </row>
    <row r="97">
      <c r="A97" s="3">
        <v>2.0</v>
      </c>
      <c r="B97" s="3">
        <v>15.0</v>
      </c>
      <c r="C97" s="2" t="s">
        <v>316</v>
      </c>
      <c r="D97" s="2" t="s">
        <v>1140</v>
      </c>
      <c r="E97" s="2" t="s">
        <v>1141</v>
      </c>
      <c r="F97" s="2">
        <v>-30.0</v>
      </c>
      <c r="G97" s="2">
        <v>-29.0</v>
      </c>
      <c r="H97" s="2">
        <v>-20.0</v>
      </c>
      <c r="I97" s="2">
        <v>-19.0</v>
      </c>
      <c r="J97" s="2" t="s">
        <v>20</v>
      </c>
    </row>
    <row r="98">
      <c r="A98" s="3">
        <v>2.0</v>
      </c>
      <c r="B98" s="3">
        <v>16.0</v>
      </c>
      <c r="C98" s="2" t="s">
        <v>316</v>
      </c>
      <c r="D98" s="1" t="s">
        <v>159</v>
      </c>
      <c r="E98" s="2" t="s">
        <v>1143</v>
      </c>
      <c r="F98" s="1" t="s">
        <v>159</v>
      </c>
      <c r="G98" s="1" t="s">
        <v>159</v>
      </c>
      <c r="H98" s="1" t="s">
        <v>159</v>
      </c>
      <c r="I98" s="1" t="s">
        <v>159</v>
      </c>
      <c r="J98" s="2">
        <v>-8.0</v>
      </c>
    </row>
    <row r="99">
      <c r="A99" s="3">
        <v>2.0</v>
      </c>
      <c r="B99" s="3">
        <v>17.0</v>
      </c>
      <c r="C99" s="2" t="s">
        <v>316</v>
      </c>
      <c r="D99" s="2" t="s">
        <v>1148</v>
      </c>
      <c r="E99" s="2" t="s">
        <v>1150</v>
      </c>
      <c r="F99" s="2" t="s">
        <v>901</v>
      </c>
      <c r="G99" s="2" t="s">
        <v>902</v>
      </c>
      <c r="H99" s="2" t="s">
        <v>903</v>
      </c>
      <c r="I99" s="2" t="s">
        <v>904</v>
      </c>
      <c r="J99" s="2" t="s">
        <v>37</v>
      </c>
    </row>
    <row r="100">
      <c r="A100" s="3">
        <v>2.0</v>
      </c>
      <c r="B100" s="3">
        <v>18.0</v>
      </c>
    </row>
    <row r="101">
      <c r="A101" s="3">
        <v>2.0</v>
      </c>
      <c r="B101" s="3">
        <v>19.0</v>
      </c>
    </row>
    <row r="102">
      <c r="A102" s="3">
        <v>2.0</v>
      </c>
      <c r="B102" s="3">
        <v>20.0</v>
      </c>
    </row>
    <row r="103">
      <c r="A103" s="3">
        <v>2.0</v>
      </c>
      <c r="B103" s="3">
        <v>21.0</v>
      </c>
    </row>
    <row r="104">
      <c r="A104" s="3">
        <v>2.0</v>
      </c>
      <c r="B104" s="3">
        <v>22.0</v>
      </c>
    </row>
    <row r="105">
      <c r="A105" s="3">
        <v>2.0</v>
      </c>
      <c r="B105" s="3">
        <v>23.0</v>
      </c>
    </row>
    <row r="106">
      <c r="A106" s="3">
        <v>2.0</v>
      </c>
      <c r="B106" s="3">
        <v>24.0</v>
      </c>
    </row>
    <row r="107">
      <c r="A107" s="3">
        <v>2.0</v>
      </c>
      <c r="B107" s="3">
        <v>25.0</v>
      </c>
    </row>
    <row r="108">
      <c r="A108" s="3">
        <v>2.0</v>
      </c>
      <c r="B108" s="3">
        <v>26.0</v>
      </c>
    </row>
    <row r="109">
      <c r="A109" s="3">
        <v>2.0</v>
      </c>
      <c r="B109" s="3">
        <v>27.0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c r="C1" s="2" t="s">
        <v>2</v>
      </c>
      <c r="D1" s="2" t="s">
        <v>3</v>
      </c>
      <c r="E1" s="2" t="s">
        <v>4</v>
      </c>
      <c r="F1" s="2" t="s">
        <v>5</v>
      </c>
      <c r="G1" s="2" t="s">
        <v>6</v>
      </c>
      <c r="H1" s="2" t="s">
        <v>7</v>
      </c>
      <c r="I1" s="2" t="s">
        <v>8</v>
      </c>
      <c r="J1" s="2" t="s">
        <v>9</v>
      </c>
      <c r="K1" s="2" t="s">
        <v>10</v>
      </c>
      <c r="L1" s="2" t="s">
        <v>11</v>
      </c>
      <c r="M1" s="2" t="s">
        <v>12</v>
      </c>
    </row>
    <row r="2">
      <c r="A2" s="3">
        <v>1.0</v>
      </c>
      <c r="B2" s="3">
        <v>1.0</v>
      </c>
      <c r="C2" s="2" t="s">
        <v>13</v>
      </c>
      <c r="D2" s="2" t="s">
        <v>1002</v>
      </c>
      <c r="E2" s="2" t="s">
        <v>15</v>
      </c>
      <c r="F2" s="2" t="s">
        <v>220</v>
      </c>
      <c r="G2" s="2" t="s">
        <v>221</v>
      </c>
      <c r="H2" s="2" t="s">
        <v>222</v>
      </c>
      <c r="I2" s="2" t="s">
        <v>223</v>
      </c>
      <c r="J2" s="1" t="s">
        <v>159</v>
      </c>
      <c r="K2" s="2" t="s">
        <v>33</v>
      </c>
      <c r="L2" s="2" t="s">
        <v>22</v>
      </c>
      <c r="M2" s="2" t="s">
        <v>23</v>
      </c>
    </row>
    <row r="3">
      <c r="A3" s="3">
        <v>1.0</v>
      </c>
      <c r="B3" s="3">
        <v>2.0</v>
      </c>
      <c r="C3" s="2" t="s">
        <v>13</v>
      </c>
      <c r="D3" s="2" t="s">
        <v>227</v>
      </c>
      <c r="E3" s="2" t="s">
        <v>228</v>
      </c>
      <c r="F3" s="2" t="s">
        <v>230</v>
      </c>
      <c r="G3" s="2" t="s">
        <v>231</v>
      </c>
      <c r="H3" s="2" t="s">
        <v>233</v>
      </c>
      <c r="I3" s="2" t="s">
        <v>234</v>
      </c>
      <c r="J3" s="1" t="s">
        <v>159</v>
      </c>
      <c r="K3" s="2" t="s">
        <v>81</v>
      </c>
      <c r="L3" s="2" t="s">
        <v>22</v>
      </c>
      <c r="M3" s="2" t="s">
        <v>23</v>
      </c>
    </row>
    <row r="4">
      <c r="A4" s="3">
        <v>1.0</v>
      </c>
      <c r="B4" s="3">
        <v>3.0</v>
      </c>
      <c r="C4" s="2" t="s">
        <v>13</v>
      </c>
      <c r="D4" s="2" t="s">
        <v>1011</v>
      </c>
      <c r="E4" s="2" t="s">
        <v>15</v>
      </c>
      <c r="F4" s="2" t="s">
        <v>237</v>
      </c>
      <c r="G4" s="2" t="s">
        <v>239</v>
      </c>
      <c r="H4" s="2" t="s">
        <v>240</v>
      </c>
      <c r="I4" s="2" t="s">
        <v>242</v>
      </c>
      <c r="J4" s="1" t="s">
        <v>159</v>
      </c>
      <c r="K4" s="2" t="s">
        <v>33</v>
      </c>
      <c r="L4" s="2" t="s">
        <v>22</v>
      </c>
      <c r="M4" s="2" t="s">
        <v>23</v>
      </c>
    </row>
    <row r="5">
      <c r="A5" s="3">
        <v>1.0</v>
      </c>
      <c r="B5" s="3">
        <v>4.0</v>
      </c>
      <c r="C5" s="2" t="s">
        <v>13</v>
      </c>
      <c r="D5" s="1" t="s">
        <v>159</v>
      </c>
      <c r="E5" s="1" t="s">
        <v>159</v>
      </c>
      <c r="F5" s="1" t="s">
        <v>159</v>
      </c>
      <c r="G5" s="1" t="s">
        <v>159</v>
      </c>
      <c r="H5" s="1" t="s">
        <v>159</v>
      </c>
      <c r="I5" s="1" t="s">
        <v>159</v>
      </c>
      <c r="J5" s="1" t="s">
        <v>159</v>
      </c>
      <c r="K5" s="2" t="s">
        <v>329</v>
      </c>
      <c r="L5" s="2" t="s">
        <v>329</v>
      </c>
      <c r="M5" s="2" t="s">
        <v>329</v>
      </c>
    </row>
    <row r="6">
      <c r="A6" s="3">
        <v>1.0</v>
      </c>
      <c r="B6" s="3">
        <v>5.0</v>
      </c>
      <c r="C6" s="2" t="s">
        <v>13</v>
      </c>
      <c r="D6" s="2" t="s">
        <v>421</v>
      </c>
      <c r="E6" s="2" t="s">
        <v>15</v>
      </c>
      <c r="F6" s="2" t="s">
        <v>248</v>
      </c>
      <c r="G6" s="2" t="s">
        <v>249</v>
      </c>
      <c r="H6" s="2" t="s">
        <v>250</v>
      </c>
      <c r="I6" s="2" t="s">
        <v>251</v>
      </c>
      <c r="J6" s="1" t="s">
        <v>159</v>
      </c>
      <c r="K6" s="2" t="s">
        <v>21</v>
      </c>
      <c r="L6" s="2" t="s">
        <v>22</v>
      </c>
      <c r="M6" s="2" t="s">
        <v>43</v>
      </c>
    </row>
    <row r="7">
      <c r="A7" s="3">
        <v>1.0</v>
      </c>
      <c r="B7" s="3">
        <v>6.0</v>
      </c>
      <c r="C7" s="2" t="s">
        <v>13</v>
      </c>
      <c r="D7" s="2" t="s">
        <v>264</v>
      </c>
      <c r="E7" s="2" t="s">
        <v>75</v>
      </c>
      <c r="F7" s="2" t="s">
        <v>267</v>
      </c>
      <c r="G7" s="2" t="s">
        <v>269</v>
      </c>
      <c r="H7" s="2" t="s">
        <v>270</v>
      </c>
      <c r="I7" s="2" t="s">
        <v>272</v>
      </c>
      <c r="J7" s="1" t="s">
        <v>159</v>
      </c>
      <c r="K7" s="2" t="s">
        <v>42</v>
      </c>
      <c r="L7" s="2" t="s">
        <v>82</v>
      </c>
      <c r="M7" s="2" t="s">
        <v>23</v>
      </c>
    </row>
    <row r="8">
      <c r="A8" s="3">
        <v>1.0</v>
      </c>
      <c r="B8" s="3">
        <v>7.0</v>
      </c>
      <c r="C8" s="2" t="s">
        <v>13</v>
      </c>
      <c r="D8" s="2" t="s">
        <v>275</v>
      </c>
      <c r="E8" s="2" t="s">
        <v>75</v>
      </c>
      <c r="F8" s="2" t="s">
        <v>1007</v>
      </c>
      <c r="G8" s="2" t="s">
        <v>1008</v>
      </c>
      <c r="H8" s="2" t="s">
        <v>1009</v>
      </c>
      <c r="I8" s="2" t="s">
        <v>1010</v>
      </c>
      <c r="J8" s="1" t="s">
        <v>159</v>
      </c>
      <c r="K8" s="2" t="s">
        <v>42</v>
      </c>
      <c r="L8" s="2" t="s">
        <v>82</v>
      </c>
      <c r="M8" s="2" t="s">
        <v>23</v>
      </c>
    </row>
    <row r="9">
      <c r="A9" s="3">
        <v>1.0</v>
      </c>
      <c r="B9" s="3">
        <v>8.0</v>
      </c>
      <c r="C9" s="2" t="s">
        <v>13</v>
      </c>
      <c r="D9" s="2" t="s">
        <v>281</v>
      </c>
      <c r="E9" s="2" t="s">
        <v>86</v>
      </c>
      <c r="F9" s="2" t="s">
        <v>284</v>
      </c>
      <c r="G9" s="2" t="s">
        <v>286</v>
      </c>
      <c r="H9" s="2" t="s">
        <v>287</v>
      </c>
      <c r="I9" s="2" t="s">
        <v>288</v>
      </c>
      <c r="J9" s="1" t="s">
        <v>159</v>
      </c>
      <c r="K9" s="2" t="s">
        <v>33</v>
      </c>
      <c r="L9" s="2" t="s">
        <v>82</v>
      </c>
      <c r="M9" s="2" t="s">
        <v>92</v>
      </c>
    </row>
    <row r="10">
      <c r="A10" s="3">
        <v>1.0</v>
      </c>
      <c r="B10" s="3">
        <v>9.0</v>
      </c>
      <c r="C10" s="2" t="s">
        <v>13</v>
      </c>
      <c r="D10" s="2" t="s">
        <v>289</v>
      </c>
      <c r="E10" s="2" t="s">
        <v>290</v>
      </c>
      <c r="F10" s="2" t="s">
        <v>292</v>
      </c>
      <c r="G10" s="2" t="s">
        <v>293</v>
      </c>
      <c r="H10" s="2" t="s">
        <v>294</v>
      </c>
      <c r="I10" s="2" t="s">
        <v>296</v>
      </c>
      <c r="J10" s="1" t="s">
        <v>159</v>
      </c>
      <c r="K10" s="2" t="s">
        <v>81</v>
      </c>
      <c r="L10" s="2" t="s">
        <v>112</v>
      </c>
      <c r="M10" s="2" t="s">
        <v>23</v>
      </c>
    </row>
    <row r="11">
      <c r="A11" s="3">
        <v>1.0</v>
      </c>
      <c r="B11" s="3">
        <v>10.0</v>
      </c>
      <c r="C11" s="2" t="s">
        <v>13</v>
      </c>
      <c r="D11" s="1" t="s">
        <v>159</v>
      </c>
      <c r="E11" s="1" t="s">
        <v>159</v>
      </c>
      <c r="F11" s="1" t="s">
        <v>159</v>
      </c>
      <c r="G11" s="1" t="s">
        <v>159</v>
      </c>
      <c r="H11" s="1" t="s">
        <v>159</v>
      </c>
      <c r="I11" s="1" t="s">
        <v>159</v>
      </c>
      <c r="J11" s="1" t="s">
        <v>159</v>
      </c>
      <c r="K11" s="2" t="s">
        <v>329</v>
      </c>
      <c r="L11" s="2" t="s">
        <v>329</v>
      </c>
      <c r="M11" s="2" t="s">
        <v>329</v>
      </c>
    </row>
    <row r="12">
      <c r="A12" s="3">
        <v>1.0</v>
      </c>
      <c r="B12" s="3">
        <v>11.0</v>
      </c>
      <c r="C12" s="2" t="s">
        <v>13</v>
      </c>
      <c r="D12" s="2" t="s">
        <v>1018</v>
      </c>
      <c r="E12" s="2" t="s">
        <v>301</v>
      </c>
      <c r="F12" s="2" t="s">
        <v>302</v>
      </c>
      <c r="G12" s="2" t="s">
        <v>303</v>
      </c>
      <c r="H12" s="2" t="s">
        <v>304</v>
      </c>
      <c r="I12" s="2" t="s">
        <v>305</v>
      </c>
      <c r="J12" s="1" t="s">
        <v>159</v>
      </c>
      <c r="K12" s="2" t="s">
        <v>33</v>
      </c>
      <c r="L12" s="2" t="s">
        <v>136</v>
      </c>
      <c r="M12" s="2" t="s">
        <v>23</v>
      </c>
    </row>
    <row r="13">
      <c r="A13" s="3">
        <v>1.0</v>
      </c>
      <c r="B13" s="3">
        <v>12.0</v>
      </c>
      <c r="C13" s="2" t="s">
        <v>13</v>
      </c>
      <c r="D13" s="2" t="s">
        <v>1019</v>
      </c>
      <c r="E13" s="2" t="s">
        <v>318</v>
      </c>
      <c r="F13" s="2" t="s">
        <v>319</v>
      </c>
      <c r="G13" s="2" t="s">
        <v>320</v>
      </c>
      <c r="H13" s="2" t="s">
        <v>321</v>
      </c>
      <c r="I13" s="2" t="s">
        <v>322</v>
      </c>
      <c r="J13" s="1" t="s">
        <v>159</v>
      </c>
      <c r="K13" s="2" t="s">
        <v>33</v>
      </c>
      <c r="L13" s="2" t="s">
        <v>136</v>
      </c>
      <c r="M13" s="2" t="s">
        <v>23</v>
      </c>
    </row>
    <row r="14">
      <c r="A14" s="3">
        <v>1.0</v>
      </c>
      <c r="B14" s="3">
        <v>13.0</v>
      </c>
      <c r="C14" s="2" t="s">
        <v>13</v>
      </c>
      <c r="D14" s="6" t="s">
        <v>1020</v>
      </c>
      <c r="E14" s="2" t="s">
        <v>331</v>
      </c>
      <c r="F14" s="2" t="s">
        <v>1014</v>
      </c>
      <c r="G14" s="2" t="s">
        <v>1021</v>
      </c>
      <c r="H14" s="2" t="s">
        <v>1016</v>
      </c>
      <c r="I14" s="2" t="s">
        <v>1017</v>
      </c>
      <c r="J14" s="1" t="s">
        <v>159</v>
      </c>
      <c r="K14" s="2" t="s">
        <v>42</v>
      </c>
      <c r="L14" s="2" t="s">
        <v>136</v>
      </c>
      <c r="M14" s="2" t="s">
        <v>92</v>
      </c>
    </row>
    <row r="15">
      <c r="A15" s="3">
        <v>1.0</v>
      </c>
      <c r="B15" s="3">
        <v>14.0</v>
      </c>
      <c r="C15" s="2" t="s">
        <v>13</v>
      </c>
      <c r="D15" s="2" t="s">
        <v>1022</v>
      </c>
      <c r="E15" s="2" t="s">
        <v>161</v>
      </c>
      <c r="F15" s="2" t="s">
        <v>338</v>
      </c>
      <c r="G15" s="2" t="s">
        <v>339</v>
      </c>
      <c r="H15" s="2" t="s">
        <v>340</v>
      </c>
      <c r="I15" s="2" t="s">
        <v>342</v>
      </c>
      <c r="J15" s="1" t="s">
        <v>159</v>
      </c>
      <c r="K15" s="2" t="s">
        <v>21</v>
      </c>
      <c r="L15" s="2" t="s">
        <v>166</v>
      </c>
      <c r="M15" s="2" t="s">
        <v>23</v>
      </c>
    </row>
    <row r="16">
      <c r="A16" s="3">
        <v>1.0</v>
      </c>
      <c r="B16" s="3">
        <v>15.0</v>
      </c>
      <c r="C16" s="2" t="s">
        <v>13</v>
      </c>
      <c r="D16" s="2" t="s">
        <v>1023</v>
      </c>
      <c r="E16" s="2" t="s">
        <v>161</v>
      </c>
      <c r="F16" s="2" t="s">
        <v>348</v>
      </c>
      <c r="G16" s="2" t="s">
        <v>349</v>
      </c>
      <c r="H16" s="2" t="s">
        <v>350</v>
      </c>
      <c r="I16" s="2" t="s">
        <v>351</v>
      </c>
      <c r="J16" s="1" t="s">
        <v>159</v>
      </c>
      <c r="K16" s="2" t="s">
        <v>33</v>
      </c>
      <c r="L16" s="2" t="s">
        <v>166</v>
      </c>
      <c r="M16" s="2" t="s">
        <v>92</v>
      </c>
    </row>
    <row r="17">
      <c r="A17" s="3">
        <v>1.0</v>
      </c>
      <c r="B17" s="3">
        <v>16.0</v>
      </c>
      <c r="C17" s="1" t="s">
        <v>159</v>
      </c>
      <c r="D17" s="1" t="s">
        <v>159</v>
      </c>
      <c r="E17" s="1" t="s">
        <v>159</v>
      </c>
      <c r="F17" s="1" t="s">
        <v>159</v>
      </c>
      <c r="G17" s="1" t="s">
        <v>159</v>
      </c>
      <c r="H17" s="1" t="s">
        <v>159</v>
      </c>
      <c r="I17" s="1" t="s">
        <v>159</v>
      </c>
      <c r="J17" s="1" t="s">
        <v>159</v>
      </c>
      <c r="K17" s="1" t="s">
        <v>159</v>
      </c>
      <c r="L17" s="1" t="s">
        <v>159</v>
      </c>
      <c r="M17" s="1" t="s">
        <v>159</v>
      </c>
    </row>
    <row r="18">
      <c r="A18" s="3">
        <v>1.0</v>
      </c>
      <c r="B18" s="3">
        <v>17.0</v>
      </c>
      <c r="C18" s="2" t="s">
        <v>13</v>
      </c>
      <c r="D18" s="2" t="s">
        <v>1030</v>
      </c>
      <c r="E18" s="2" t="s">
        <v>168</v>
      </c>
      <c r="F18" s="2" t="s">
        <v>365</v>
      </c>
      <c r="G18" s="2" t="s">
        <v>366</v>
      </c>
      <c r="H18" s="2" t="s">
        <v>367</v>
      </c>
      <c r="I18" s="2" t="s">
        <v>369</v>
      </c>
      <c r="J18" s="1" t="s">
        <v>159</v>
      </c>
      <c r="K18" s="2" t="s">
        <v>33</v>
      </c>
      <c r="L18" s="2" t="s">
        <v>184</v>
      </c>
      <c r="M18" s="2" t="s">
        <v>23</v>
      </c>
    </row>
    <row r="19">
      <c r="A19" s="3">
        <v>1.0</v>
      </c>
      <c r="B19" s="3">
        <v>18.0</v>
      </c>
      <c r="C19" s="2" t="s">
        <v>13</v>
      </c>
      <c r="D19" s="2" t="s">
        <v>1033</v>
      </c>
      <c r="E19" s="2" t="s">
        <v>168</v>
      </c>
      <c r="F19" s="2" t="s">
        <v>376</v>
      </c>
      <c r="G19" s="2" t="s">
        <v>377</v>
      </c>
      <c r="H19" s="2" t="s">
        <v>378</v>
      </c>
      <c r="I19" s="2" t="s">
        <v>379</v>
      </c>
      <c r="J19" s="1" t="s">
        <v>159</v>
      </c>
      <c r="K19" s="2" t="s">
        <v>21</v>
      </c>
      <c r="L19" s="2" t="s">
        <v>184</v>
      </c>
      <c r="M19" s="2" t="s">
        <v>23</v>
      </c>
    </row>
    <row r="20">
      <c r="A20" s="3">
        <v>1.0</v>
      </c>
      <c r="B20" s="3">
        <v>19.0</v>
      </c>
      <c r="C20" s="2" t="s">
        <v>13</v>
      </c>
      <c r="D20" s="2" t="s">
        <v>1034</v>
      </c>
      <c r="E20" s="2" t="s">
        <v>168</v>
      </c>
      <c r="F20" s="2" t="s">
        <v>384</v>
      </c>
      <c r="G20" s="2" t="s">
        <v>386</v>
      </c>
      <c r="H20" s="2" t="s">
        <v>387</v>
      </c>
      <c r="I20" s="2" t="s">
        <v>390</v>
      </c>
      <c r="J20" s="1" t="s">
        <v>159</v>
      </c>
      <c r="K20" s="2" t="s">
        <v>33</v>
      </c>
      <c r="L20" s="2" t="s">
        <v>173</v>
      </c>
      <c r="M20" s="2" t="s">
        <v>92</v>
      </c>
    </row>
    <row r="21">
      <c r="A21" s="3">
        <v>1.0</v>
      </c>
      <c r="B21" s="3">
        <v>20.0</v>
      </c>
      <c r="C21" s="1" t="s">
        <v>159</v>
      </c>
      <c r="D21" s="1" t="s">
        <v>159</v>
      </c>
      <c r="E21" s="1" t="s">
        <v>159</v>
      </c>
      <c r="F21" s="1" t="s">
        <v>159</v>
      </c>
      <c r="G21" s="1" t="s">
        <v>159</v>
      </c>
      <c r="H21" s="1" t="s">
        <v>159</v>
      </c>
      <c r="I21" s="1" t="s">
        <v>159</v>
      </c>
      <c r="J21" s="1" t="s">
        <v>159</v>
      </c>
      <c r="K21" s="1" t="s">
        <v>159</v>
      </c>
      <c r="L21" s="1" t="s">
        <v>159</v>
      </c>
      <c r="M21" s="1" t="s">
        <v>159</v>
      </c>
    </row>
    <row r="22">
      <c r="A22" s="3">
        <v>1.0</v>
      </c>
      <c r="B22" s="3">
        <v>21.0</v>
      </c>
      <c r="C22" s="2" t="s">
        <v>13</v>
      </c>
      <c r="D22" s="2" t="s">
        <v>404</v>
      </c>
      <c r="E22" s="2" t="s">
        <v>168</v>
      </c>
      <c r="F22" s="2" t="s">
        <v>405</v>
      </c>
      <c r="G22" s="2" t="s">
        <v>406</v>
      </c>
      <c r="H22" s="2" t="s">
        <v>407</v>
      </c>
      <c r="I22" s="2" t="s">
        <v>408</v>
      </c>
      <c r="J22" s="1" t="s">
        <v>159</v>
      </c>
      <c r="K22" s="2" t="s">
        <v>21</v>
      </c>
      <c r="L22" s="2" t="s">
        <v>184</v>
      </c>
      <c r="M22" s="2" t="s">
        <v>23</v>
      </c>
    </row>
    <row r="23">
      <c r="A23" s="3">
        <v>1.0</v>
      </c>
      <c r="B23" s="3">
        <v>22.0</v>
      </c>
      <c r="C23" s="2" t="s">
        <v>13</v>
      </c>
      <c r="D23" s="2" t="s">
        <v>414</v>
      </c>
      <c r="E23" s="2" t="s">
        <v>196</v>
      </c>
      <c r="F23" s="2" t="s">
        <v>416</v>
      </c>
      <c r="G23" s="2" t="s">
        <v>417</v>
      </c>
      <c r="H23" s="2" t="s">
        <v>418</v>
      </c>
      <c r="I23" s="2" t="s">
        <v>419</v>
      </c>
      <c r="J23" s="1" t="s">
        <v>159</v>
      </c>
      <c r="K23" s="2" t="s">
        <v>420</v>
      </c>
      <c r="L23" s="2" t="s">
        <v>201</v>
      </c>
      <c r="M23" s="2" t="s">
        <v>43</v>
      </c>
    </row>
    <row r="24">
      <c r="A24" s="3">
        <v>1.0</v>
      </c>
      <c r="B24" s="3">
        <v>23.0</v>
      </c>
      <c r="C24" s="2" t="s">
        <v>13</v>
      </c>
      <c r="D24" s="2" t="s">
        <v>422</v>
      </c>
      <c r="E24" s="2" t="s">
        <v>196</v>
      </c>
      <c r="F24" s="2" t="s">
        <v>423</v>
      </c>
      <c r="G24" s="2" t="s">
        <v>424</v>
      </c>
      <c r="H24" s="2" t="s">
        <v>642</v>
      </c>
      <c r="I24" s="2" t="s">
        <v>1041</v>
      </c>
      <c r="J24" s="1" t="s">
        <v>159</v>
      </c>
      <c r="K24" s="2" t="s">
        <v>81</v>
      </c>
      <c r="L24" s="2" t="s">
        <v>201</v>
      </c>
      <c r="M24" s="2" t="s">
        <v>92</v>
      </c>
    </row>
    <row r="25">
      <c r="A25" s="3">
        <v>1.0</v>
      </c>
      <c r="B25" s="3">
        <v>24.0</v>
      </c>
      <c r="C25" s="2" t="s">
        <v>13</v>
      </c>
      <c r="D25" s="2" t="s">
        <v>431</v>
      </c>
      <c r="E25" s="2" t="s">
        <v>432</v>
      </c>
      <c r="F25" s="2" t="s">
        <v>433</v>
      </c>
      <c r="G25" s="2" t="s">
        <v>434</v>
      </c>
      <c r="H25" s="2" t="s">
        <v>436</v>
      </c>
      <c r="I25" s="2" t="s">
        <v>439</v>
      </c>
      <c r="J25" s="1" t="s">
        <v>159</v>
      </c>
      <c r="K25" s="2" t="s">
        <v>81</v>
      </c>
      <c r="L25" s="2" t="s">
        <v>219</v>
      </c>
      <c r="M25" s="2" t="s">
        <v>92</v>
      </c>
    </row>
    <row r="26">
      <c r="A26" s="3">
        <v>1.0</v>
      </c>
      <c r="B26" s="3">
        <v>25.0</v>
      </c>
      <c r="C26" s="2" t="s">
        <v>13</v>
      </c>
      <c r="D26" s="2" t="s">
        <v>444</v>
      </c>
      <c r="E26" s="2" t="s">
        <v>445</v>
      </c>
      <c r="F26" s="2" t="s">
        <v>446</v>
      </c>
      <c r="G26" s="2" t="s">
        <v>650</v>
      </c>
      <c r="H26" s="2" t="s">
        <v>448</v>
      </c>
      <c r="I26" s="2" t="s">
        <v>449</v>
      </c>
      <c r="J26" s="1" t="s">
        <v>159</v>
      </c>
      <c r="K26" s="2" t="s">
        <v>21</v>
      </c>
      <c r="L26" s="2" t="s">
        <v>219</v>
      </c>
      <c r="M26" s="2" t="s">
        <v>92</v>
      </c>
    </row>
    <row r="27">
      <c r="A27" s="3">
        <v>1.0</v>
      </c>
      <c r="B27" s="3">
        <v>26.0</v>
      </c>
      <c r="C27" s="2" t="s">
        <v>13</v>
      </c>
      <c r="D27" s="2" t="s">
        <v>455</v>
      </c>
      <c r="E27" s="1" t="s">
        <v>159</v>
      </c>
      <c r="F27" s="2" t="s">
        <v>472</v>
      </c>
      <c r="G27" s="2" t="s">
        <v>473</v>
      </c>
      <c r="H27" s="2" t="s">
        <v>244</v>
      </c>
      <c r="I27" s="2" t="s">
        <v>474</v>
      </c>
      <c r="J27" s="1" t="s">
        <v>159</v>
      </c>
      <c r="K27" s="2" t="s">
        <v>21</v>
      </c>
      <c r="L27" s="2" t="s">
        <v>219</v>
      </c>
      <c r="M27" s="2" t="s">
        <v>92</v>
      </c>
    </row>
    <row r="28">
      <c r="A28" s="3">
        <v>1.0</v>
      </c>
      <c r="B28" s="3">
        <v>27.0</v>
      </c>
      <c r="C28" s="2" t="s">
        <v>13</v>
      </c>
      <c r="D28" s="2" t="s">
        <v>1044</v>
      </c>
      <c r="E28" s="2" t="s">
        <v>476</v>
      </c>
      <c r="F28" s="2" t="s">
        <v>478</v>
      </c>
      <c r="G28" s="2" t="s">
        <v>479</v>
      </c>
      <c r="H28" s="2" t="s">
        <v>480</v>
      </c>
      <c r="I28" s="2" t="s">
        <v>481</v>
      </c>
      <c r="J28" s="1" t="s">
        <v>159</v>
      </c>
      <c r="K28" s="2" t="s">
        <v>33</v>
      </c>
      <c r="L28" s="2" t="s">
        <v>219</v>
      </c>
      <c r="M28" s="2" t="s">
        <v>92</v>
      </c>
    </row>
    <row r="29">
      <c r="A29" s="3">
        <v>2.0</v>
      </c>
      <c r="B29" s="3">
        <v>1.0</v>
      </c>
      <c r="C29" s="2" t="s">
        <v>13</v>
      </c>
      <c r="D29" s="2" t="s">
        <v>1048</v>
      </c>
      <c r="E29" s="2" t="s">
        <v>15</v>
      </c>
      <c r="F29" s="2" t="s">
        <v>483</v>
      </c>
      <c r="G29" s="2" t="s">
        <v>678</v>
      </c>
      <c r="H29" s="2" t="s">
        <v>1051</v>
      </c>
      <c r="I29" s="2" t="s">
        <v>1052</v>
      </c>
      <c r="J29" s="1" t="s">
        <v>159</v>
      </c>
      <c r="K29" s="2" t="s">
        <v>42</v>
      </c>
      <c r="L29" s="2" t="s">
        <v>22</v>
      </c>
      <c r="M29" s="2" t="s">
        <v>43</v>
      </c>
    </row>
    <row r="30">
      <c r="A30" s="3">
        <v>2.0</v>
      </c>
      <c r="B30" s="3">
        <v>2.0</v>
      </c>
      <c r="C30" s="2" t="s">
        <v>13</v>
      </c>
      <c r="D30" s="2" t="s">
        <v>1053</v>
      </c>
      <c r="E30" s="2" t="s">
        <v>15</v>
      </c>
      <c r="F30" s="2" t="s">
        <v>492</v>
      </c>
      <c r="G30" s="2" t="s">
        <v>494</v>
      </c>
      <c r="H30" s="2" t="s">
        <v>495</v>
      </c>
      <c r="I30" s="2" t="s">
        <v>496</v>
      </c>
      <c r="J30" s="1" t="s">
        <v>159</v>
      </c>
      <c r="K30" s="2" t="s">
        <v>33</v>
      </c>
      <c r="L30" s="2" t="s">
        <v>22</v>
      </c>
      <c r="M30" s="2" t="s">
        <v>92</v>
      </c>
    </row>
    <row r="31">
      <c r="A31" s="3">
        <v>2.0</v>
      </c>
      <c r="B31" s="3">
        <v>3.0</v>
      </c>
      <c r="C31" s="2" t="s">
        <v>13</v>
      </c>
      <c r="D31" s="6" t="s">
        <v>1055</v>
      </c>
      <c r="E31" s="2" t="s">
        <v>504</v>
      </c>
      <c r="F31" s="2" t="s">
        <v>505</v>
      </c>
      <c r="G31" s="2" t="s">
        <v>506</v>
      </c>
      <c r="H31" s="2" t="s">
        <v>507</v>
      </c>
      <c r="I31" s="2" t="s">
        <v>509</v>
      </c>
      <c r="J31" s="1" t="s">
        <v>159</v>
      </c>
      <c r="K31" s="2" t="s">
        <v>81</v>
      </c>
      <c r="L31" s="2" t="s">
        <v>22</v>
      </c>
      <c r="M31" s="2" t="s">
        <v>43</v>
      </c>
    </row>
    <row r="32">
      <c r="A32" s="3">
        <v>2.0</v>
      </c>
      <c r="B32" s="3">
        <v>4.0</v>
      </c>
      <c r="C32" s="2" t="s">
        <v>13</v>
      </c>
      <c r="D32" s="2" t="s">
        <v>1056</v>
      </c>
      <c r="E32" s="2" t="s">
        <v>15</v>
      </c>
      <c r="F32" s="2" t="s">
        <v>515</v>
      </c>
      <c r="G32" s="2" t="s">
        <v>516</v>
      </c>
      <c r="H32" s="2" t="s">
        <v>518</v>
      </c>
      <c r="I32" s="2" t="s">
        <v>519</v>
      </c>
      <c r="J32" s="1" t="s">
        <v>159</v>
      </c>
      <c r="K32" s="2" t="s">
        <v>21</v>
      </c>
      <c r="L32" s="2" t="s">
        <v>22</v>
      </c>
      <c r="M32" s="2" t="s">
        <v>92</v>
      </c>
    </row>
    <row r="33">
      <c r="A33" s="3">
        <v>2.0</v>
      </c>
      <c r="B33" s="3">
        <v>5.0</v>
      </c>
      <c r="C33" s="2" t="s">
        <v>13</v>
      </c>
      <c r="D33" s="2" t="s">
        <v>691</v>
      </c>
      <c r="E33" s="2" t="s">
        <v>117</v>
      </c>
      <c r="F33" s="2" t="s">
        <v>526</v>
      </c>
      <c r="G33" s="2" t="s">
        <v>528</v>
      </c>
      <c r="H33" s="2" t="s">
        <v>529</v>
      </c>
      <c r="I33" s="2" t="s">
        <v>531</v>
      </c>
      <c r="J33" s="1" t="s">
        <v>159</v>
      </c>
      <c r="K33" s="2" t="s">
        <v>21</v>
      </c>
      <c r="L33" s="2" t="s">
        <v>82</v>
      </c>
      <c r="M33" s="2" t="s">
        <v>92</v>
      </c>
    </row>
    <row r="34">
      <c r="A34" s="3">
        <v>2.0</v>
      </c>
      <c r="B34" s="3">
        <v>6.0</v>
      </c>
      <c r="C34" s="2" t="s">
        <v>13</v>
      </c>
      <c r="D34" s="2" t="s">
        <v>536</v>
      </c>
      <c r="E34" s="2" t="s">
        <v>537</v>
      </c>
      <c r="F34" s="2" t="s">
        <v>539</v>
      </c>
      <c r="G34" s="2" t="s">
        <v>540</v>
      </c>
      <c r="H34" s="2" t="s">
        <v>542</v>
      </c>
      <c r="I34" s="2" t="s">
        <v>545</v>
      </c>
      <c r="J34" s="1" t="s">
        <v>159</v>
      </c>
      <c r="K34" s="2" t="s">
        <v>33</v>
      </c>
      <c r="L34" s="2" t="s">
        <v>363</v>
      </c>
      <c r="M34" s="2" t="s">
        <v>92</v>
      </c>
    </row>
    <row r="35">
      <c r="A35" s="3">
        <v>2.0</v>
      </c>
      <c r="B35" s="3">
        <v>7.0</v>
      </c>
      <c r="C35" s="2" t="s">
        <v>13</v>
      </c>
      <c r="D35" s="2" t="s">
        <v>1059</v>
      </c>
      <c r="E35" s="2" t="s">
        <v>1059</v>
      </c>
      <c r="F35" s="1" t="s">
        <v>159</v>
      </c>
      <c r="G35" s="1" t="s">
        <v>159</v>
      </c>
      <c r="H35" s="1" t="s">
        <v>159</v>
      </c>
      <c r="I35" s="1" t="s">
        <v>159</v>
      </c>
      <c r="J35" s="1" t="s">
        <v>159</v>
      </c>
      <c r="K35" s="2" t="s">
        <v>329</v>
      </c>
      <c r="L35" s="2" t="s">
        <v>329</v>
      </c>
      <c r="M35" s="2" t="s">
        <v>329</v>
      </c>
    </row>
    <row r="36">
      <c r="A36" s="3">
        <v>2.0</v>
      </c>
      <c r="B36" s="3">
        <v>8.0</v>
      </c>
      <c r="C36" s="2" t="s">
        <v>13</v>
      </c>
      <c r="D36" s="2" t="s">
        <v>1063</v>
      </c>
      <c r="E36" s="2" t="s">
        <v>549</v>
      </c>
      <c r="F36" s="2" t="s">
        <v>551</v>
      </c>
      <c r="G36" s="2" t="s">
        <v>552</v>
      </c>
      <c r="H36" s="2" t="s">
        <v>556</v>
      </c>
      <c r="I36" s="2" t="s">
        <v>557</v>
      </c>
      <c r="J36" s="1" t="s">
        <v>159</v>
      </c>
      <c r="K36" s="2" t="s">
        <v>33</v>
      </c>
      <c r="L36" s="2" t="s">
        <v>363</v>
      </c>
      <c r="M36" s="2" t="s">
        <v>92</v>
      </c>
    </row>
    <row r="37">
      <c r="A37" s="3">
        <v>2.0</v>
      </c>
      <c r="B37" s="3">
        <v>9.0</v>
      </c>
      <c r="C37" s="2" t="s">
        <v>13</v>
      </c>
      <c r="D37" s="2" t="s">
        <v>572</v>
      </c>
      <c r="E37" s="2" t="s">
        <v>579</v>
      </c>
      <c r="F37" s="2" t="s">
        <v>581</v>
      </c>
      <c r="G37" s="2" t="s">
        <v>582</v>
      </c>
      <c r="H37" s="2" t="s">
        <v>583</v>
      </c>
      <c r="I37" s="2" t="s">
        <v>584</v>
      </c>
      <c r="J37" s="1" t="s">
        <v>159</v>
      </c>
      <c r="K37" s="2" t="s">
        <v>21</v>
      </c>
      <c r="L37" s="2" t="s">
        <v>112</v>
      </c>
      <c r="M37" s="2" t="s">
        <v>92</v>
      </c>
    </row>
    <row r="38">
      <c r="A38" s="3">
        <v>2.0</v>
      </c>
      <c r="B38" s="3">
        <v>10.0</v>
      </c>
      <c r="C38" s="2" t="s">
        <v>13</v>
      </c>
      <c r="D38" s="2" t="s">
        <v>586</v>
      </c>
      <c r="E38" s="2" t="s">
        <v>587</v>
      </c>
      <c r="F38" s="2" t="s">
        <v>588</v>
      </c>
      <c r="G38" s="2" t="s">
        <v>590</v>
      </c>
      <c r="H38" s="2" t="s">
        <v>1068</v>
      </c>
      <c r="I38" s="2" t="s">
        <v>593</v>
      </c>
      <c r="J38" s="1" t="s">
        <v>159</v>
      </c>
      <c r="K38" s="2" t="s">
        <v>21</v>
      </c>
      <c r="L38" s="2" t="s">
        <v>112</v>
      </c>
      <c r="M38" s="2" t="s">
        <v>92</v>
      </c>
    </row>
    <row r="39">
      <c r="A39" s="3">
        <v>2.0</v>
      </c>
      <c r="B39" s="3">
        <v>11.0</v>
      </c>
      <c r="C39" s="2" t="s">
        <v>13</v>
      </c>
      <c r="D39" s="2" t="s">
        <v>597</v>
      </c>
      <c r="E39" s="2" t="s">
        <v>598</v>
      </c>
      <c r="F39" s="2" t="s">
        <v>599</v>
      </c>
      <c r="G39" s="2" t="s">
        <v>1045</v>
      </c>
      <c r="H39" s="2" t="s">
        <v>1071</v>
      </c>
      <c r="I39" s="2" t="s">
        <v>1072</v>
      </c>
      <c r="J39" s="1" t="s">
        <v>159</v>
      </c>
      <c r="K39" s="2" t="s">
        <v>33</v>
      </c>
      <c r="L39" s="2" t="s">
        <v>136</v>
      </c>
      <c r="M39" s="2" t="s">
        <v>92</v>
      </c>
    </row>
    <row r="40">
      <c r="A40" s="3">
        <v>2.0</v>
      </c>
      <c r="B40" s="3">
        <v>12.0</v>
      </c>
      <c r="C40" s="2" t="s">
        <v>13</v>
      </c>
      <c r="D40" s="2" t="s">
        <v>1073</v>
      </c>
      <c r="E40" s="2" t="s">
        <v>601</v>
      </c>
      <c r="F40" s="2" t="s">
        <v>602</v>
      </c>
      <c r="G40" s="2" t="s">
        <v>1074</v>
      </c>
      <c r="H40" s="2" t="s">
        <v>1075</v>
      </c>
      <c r="I40" s="2" t="s">
        <v>1076</v>
      </c>
      <c r="J40" s="1" t="s">
        <v>159</v>
      </c>
      <c r="K40" s="2" t="s">
        <v>21</v>
      </c>
      <c r="L40" s="2" t="s">
        <v>136</v>
      </c>
      <c r="M40" s="2" t="s">
        <v>92</v>
      </c>
    </row>
    <row r="41">
      <c r="A41" s="3">
        <v>2.0</v>
      </c>
      <c r="B41" s="3">
        <v>13.0</v>
      </c>
      <c r="C41" s="2" t="s">
        <v>13</v>
      </c>
      <c r="D41" s="2" t="s">
        <v>1077</v>
      </c>
      <c r="E41" s="2" t="s">
        <v>161</v>
      </c>
      <c r="F41" s="2" t="s">
        <v>604</v>
      </c>
      <c r="G41" s="2" t="s">
        <v>605</v>
      </c>
      <c r="H41" s="2" t="s">
        <v>729</v>
      </c>
      <c r="I41" s="2" t="s">
        <v>607</v>
      </c>
      <c r="J41" s="1" t="s">
        <v>159</v>
      </c>
      <c r="K41" s="2" t="s">
        <v>33</v>
      </c>
      <c r="L41" s="2" t="s">
        <v>166</v>
      </c>
      <c r="M41" s="2" t="s">
        <v>92</v>
      </c>
    </row>
    <row r="42">
      <c r="A42" s="3">
        <v>2.0</v>
      </c>
      <c r="B42" s="3">
        <v>14.0</v>
      </c>
      <c r="C42" s="2" t="s">
        <v>13</v>
      </c>
      <c r="D42" s="2" t="s">
        <v>608</v>
      </c>
      <c r="E42" s="2" t="s">
        <v>161</v>
      </c>
      <c r="F42" s="2" t="s">
        <v>609</v>
      </c>
      <c r="G42" s="2" t="s">
        <v>610</v>
      </c>
      <c r="H42" s="2" t="s">
        <v>611</v>
      </c>
      <c r="I42" s="2" t="s">
        <v>612</v>
      </c>
      <c r="J42" s="1" t="s">
        <v>159</v>
      </c>
      <c r="K42" s="2" t="s">
        <v>21</v>
      </c>
      <c r="L42" s="2" t="s">
        <v>166</v>
      </c>
      <c r="M42" s="2" t="s">
        <v>92</v>
      </c>
    </row>
    <row r="43">
      <c r="A43" s="3">
        <v>2.0</v>
      </c>
      <c r="B43" s="3">
        <v>15.0</v>
      </c>
      <c r="C43" s="2" t="s">
        <v>13</v>
      </c>
      <c r="D43" s="2" t="s">
        <v>613</v>
      </c>
      <c r="E43" s="2" t="s">
        <v>161</v>
      </c>
      <c r="F43" s="2" t="s">
        <v>614</v>
      </c>
      <c r="G43" s="2" t="s">
        <v>615</v>
      </c>
      <c r="H43" s="2" t="s">
        <v>617</v>
      </c>
      <c r="I43" s="2" t="s">
        <v>618</v>
      </c>
      <c r="J43" s="1" t="s">
        <v>159</v>
      </c>
      <c r="K43" s="2" t="s">
        <v>33</v>
      </c>
      <c r="L43" s="2" t="s">
        <v>166</v>
      </c>
      <c r="M43" s="2" t="s">
        <v>92</v>
      </c>
    </row>
    <row r="44">
      <c r="A44" s="3">
        <v>2.0</v>
      </c>
      <c r="B44" s="3">
        <v>16.0</v>
      </c>
      <c r="C44" s="2" t="s">
        <v>13</v>
      </c>
      <c r="D44" s="2" t="s">
        <v>619</v>
      </c>
      <c r="E44" s="2" t="s">
        <v>168</v>
      </c>
      <c r="F44" s="2" t="s">
        <v>620</v>
      </c>
      <c r="G44" s="2" t="s">
        <v>621</v>
      </c>
      <c r="H44" s="2" t="s">
        <v>622</v>
      </c>
      <c r="I44" s="2" t="s">
        <v>623</v>
      </c>
      <c r="J44" s="1" t="s">
        <v>159</v>
      </c>
      <c r="K44" s="2" t="s">
        <v>33</v>
      </c>
      <c r="L44" s="2" t="s">
        <v>184</v>
      </c>
      <c r="M44" s="2" t="s">
        <v>23</v>
      </c>
    </row>
    <row r="45">
      <c r="A45" s="3">
        <v>2.0</v>
      </c>
      <c r="B45" s="3">
        <v>17.0</v>
      </c>
      <c r="C45" s="2" t="s">
        <v>13</v>
      </c>
      <c r="D45" s="2" t="s">
        <v>624</v>
      </c>
      <c r="E45" s="2" t="s">
        <v>168</v>
      </c>
      <c r="F45" s="2" t="s">
        <v>625</v>
      </c>
      <c r="G45" s="2" t="s">
        <v>626</v>
      </c>
      <c r="H45" s="2" t="s">
        <v>627</v>
      </c>
      <c r="I45" s="2" t="s">
        <v>628</v>
      </c>
      <c r="J45" s="1" t="s">
        <v>159</v>
      </c>
      <c r="K45" s="2" t="s">
        <v>81</v>
      </c>
      <c r="L45" s="2" t="s">
        <v>173</v>
      </c>
      <c r="M45" s="2" t="s">
        <v>92</v>
      </c>
    </row>
    <row r="46">
      <c r="A46" s="3">
        <v>2.0</v>
      </c>
      <c r="B46" s="3">
        <v>18.0</v>
      </c>
      <c r="C46" s="2" t="s">
        <v>13</v>
      </c>
      <c r="D46" s="2" t="s">
        <v>629</v>
      </c>
      <c r="E46" s="2" t="s">
        <v>168</v>
      </c>
      <c r="F46" s="2" t="s">
        <v>630</v>
      </c>
      <c r="G46" s="2" t="s">
        <v>631</v>
      </c>
      <c r="H46" s="2" t="s">
        <v>632</v>
      </c>
      <c r="I46" s="2" t="s">
        <v>633</v>
      </c>
      <c r="J46" s="1" t="s">
        <v>159</v>
      </c>
      <c r="K46" s="2" t="s">
        <v>33</v>
      </c>
      <c r="L46" s="2" t="s">
        <v>173</v>
      </c>
      <c r="M46" s="2" t="s">
        <v>23</v>
      </c>
    </row>
    <row r="47">
      <c r="A47" s="3">
        <v>2.0</v>
      </c>
      <c r="B47" s="3">
        <v>19.0</v>
      </c>
      <c r="C47" s="2" t="s">
        <v>13</v>
      </c>
      <c r="D47" s="2" t="s">
        <v>634</v>
      </c>
      <c r="E47" s="2" t="s">
        <v>168</v>
      </c>
      <c r="F47" s="2" t="s">
        <v>635</v>
      </c>
      <c r="G47" s="2" t="s">
        <v>636</v>
      </c>
      <c r="H47" s="2" t="s">
        <v>637</v>
      </c>
      <c r="I47" s="2" t="s">
        <v>638</v>
      </c>
      <c r="J47" s="1" t="s">
        <v>159</v>
      </c>
      <c r="K47" s="2" t="s">
        <v>21</v>
      </c>
      <c r="L47" s="2" t="s">
        <v>184</v>
      </c>
      <c r="M47" s="2" t="s">
        <v>23</v>
      </c>
    </row>
    <row r="48">
      <c r="A48" s="3">
        <v>2.0</v>
      </c>
      <c r="B48" s="3">
        <v>20.0</v>
      </c>
      <c r="C48" s="2" t="s">
        <v>13</v>
      </c>
      <c r="D48" s="2" t="s">
        <v>756</v>
      </c>
      <c r="E48" s="2" t="s">
        <v>168</v>
      </c>
      <c r="F48" s="2" t="s">
        <v>640</v>
      </c>
      <c r="G48" s="2" t="s">
        <v>384</v>
      </c>
      <c r="H48" s="2" t="s">
        <v>641</v>
      </c>
      <c r="I48" s="2" t="s">
        <v>386</v>
      </c>
      <c r="J48" s="1" t="s">
        <v>159</v>
      </c>
      <c r="K48" s="2" t="s">
        <v>33</v>
      </c>
      <c r="L48" s="2" t="s">
        <v>173</v>
      </c>
      <c r="M48" s="2" t="s">
        <v>92</v>
      </c>
    </row>
    <row r="49">
      <c r="A49" s="3">
        <v>2.0</v>
      </c>
      <c r="B49" s="3">
        <v>21.0</v>
      </c>
      <c r="C49" s="2" t="s">
        <v>13</v>
      </c>
      <c r="D49" s="2" t="s">
        <v>644</v>
      </c>
      <c r="E49" s="2" t="s">
        <v>168</v>
      </c>
      <c r="F49" s="2" t="s">
        <v>1060</v>
      </c>
      <c r="G49" s="2">
        <v>1714.0</v>
      </c>
      <c r="H49" s="2" t="s">
        <v>1062</v>
      </c>
      <c r="I49" s="12">
        <v>71.41666666666667</v>
      </c>
      <c r="J49" s="1" t="s">
        <v>159</v>
      </c>
      <c r="K49" s="2" t="s">
        <v>21</v>
      </c>
      <c r="L49" s="2" t="s">
        <v>184</v>
      </c>
      <c r="M49" s="2" t="s">
        <v>92</v>
      </c>
    </row>
    <row r="50">
      <c r="A50" s="3">
        <v>2.0</v>
      </c>
      <c r="B50" s="3">
        <v>22.0</v>
      </c>
      <c r="C50" s="2" t="s">
        <v>13</v>
      </c>
      <c r="D50" s="2" t="s">
        <v>646</v>
      </c>
      <c r="E50" s="2" t="s">
        <v>196</v>
      </c>
      <c r="F50" s="2" t="s">
        <v>561</v>
      </c>
      <c r="G50" s="2" t="s">
        <v>562</v>
      </c>
      <c r="H50" s="2" t="s">
        <v>566</v>
      </c>
      <c r="I50" s="2" t="s">
        <v>564</v>
      </c>
      <c r="J50" s="1" t="s">
        <v>159</v>
      </c>
      <c r="K50" s="2" t="s">
        <v>33</v>
      </c>
      <c r="L50" s="2" t="s">
        <v>201</v>
      </c>
      <c r="M50" s="2" t="s">
        <v>23</v>
      </c>
    </row>
    <row r="51">
      <c r="A51" s="3">
        <v>2.0</v>
      </c>
      <c r="B51" s="3">
        <v>23.0</v>
      </c>
      <c r="C51" s="2" t="s">
        <v>13</v>
      </c>
      <c r="D51" s="2" t="s">
        <v>647</v>
      </c>
      <c r="E51" s="2" t="s">
        <v>196</v>
      </c>
      <c r="F51" s="2" t="s">
        <v>562</v>
      </c>
      <c r="G51" s="2" t="s">
        <v>203</v>
      </c>
      <c r="H51" s="2" t="s">
        <v>649</v>
      </c>
      <c r="I51" s="2" t="s">
        <v>561</v>
      </c>
      <c r="J51" s="1" t="s">
        <v>159</v>
      </c>
      <c r="K51" s="2" t="s">
        <v>21</v>
      </c>
      <c r="L51" s="2" t="s">
        <v>201</v>
      </c>
      <c r="M51" s="2" t="s">
        <v>23</v>
      </c>
    </row>
    <row r="52">
      <c r="A52" s="3">
        <v>2.0</v>
      </c>
      <c r="B52" s="3">
        <v>24.0</v>
      </c>
      <c r="C52" s="2" t="s">
        <v>13</v>
      </c>
      <c r="D52" s="2" t="s">
        <v>651</v>
      </c>
      <c r="E52" s="2" t="s">
        <v>196</v>
      </c>
      <c r="F52" s="2" t="s">
        <v>198</v>
      </c>
      <c r="G52" s="2" t="s">
        <v>652</v>
      </c>
      <c r="H52" s="2" t="s">
        <v>561</v>
      </c>
      <c r="I52" s="2" t="s">
        <v>653</v>
      </c>
      <c r="J52" s="1" t="s">
        <v>159</v>
      </c>
      <c r="K52" s="2" t="s">
        <v>33</v>
      </c>
      <c r="L52" s="2" t="s">
        <v>201</v>
      </c>
      <c r="M52" s="2" t="s">
        <v>23</v>
      </c>
    </row>
    <row r="53">
      <c r="A53" s="3">
        <v>2.0</v>
      </c>
      <c r="B53" s="3">
        <v>25.0</v>
      </c>
      <c r="C53" s="2" t="s">
        <v>13</v>
      </c>
      <c r="D53" s="2" t="s">
        <v>659</v>
      </c>
      <c r="E53" s="2" t="s">
        <v>196</v>
      </c>
      <c r="F53" s="2" t="s">
        <v>664</v>
      </c>
      <c r="G53" s="2" t="s">
        <v>197</v>
      </c>
      <c r="H53" s="2" t="s">
        <v>665</v>
      </c>
      <c r="I53" s="2" t="s">
        <v>666</v>
      </c>
      <c r="J53" s="1" t="s">
        <v>159</v>
      </c>
      <c r="K53" s="2" t="s">
        <v>33</v>
      </c>
      <c r="L53" s="2" t="s">
        <v>201</v>
      </c>
      <c r="M53" s="2" t="s">
        <v>92</v>
      </c>
    </row>
    <row r="54">
      <c r="A54" s="3">
        <v>2.0</v>
      </c>
      <c r="B54" s="3">
        <v>26.0</v>
      </c>
      <c r="C54" s="2" t="s">
        <v>13</v>
      </c>
      <c r="D54" s="2" t="s">
        <v>1097</v>
      </c>
      <c r="E54" s="2" t="s">
        <v>196</v>
      </c>
      <c r="F54" s="2" t="s">
        <v>564</v>
      </c>
      <c r="G54" s="2" t="s">
        <v>669</v>
      </c>
      <c r="H54" s="2" t="s">
        <v>670</v>
      </c>
      <c r="I54" s="2" t="s">
        <v>671</v>
      </c>
      <c r="J54" s="1" t="s">
        <v>159</v>
      </c>
      <c r="K54" s="2" t="s">
        <v>21</v>
      </c>
      <c r="L54" s="2" t="s">
        <v>201</v>
      </c>
      <c r="M54" s="2" t="s">
        <v>43</v>
      </c>
    </row>
    <row r="55">
      <c r="A55" s="3">
        <v>2.0</v>
      </c>
      <c r="B55" s="3">
        <v>27.0</v>
      </c>
      <c r="C55" s="2" t="s">
        <v>13</v>
      </c>
      <c r="D55" s="2" t="s">
        <v>672</v>
      </c>
      <c r="E55" s="2" t="s">
        <v>673</v>
      </c>
      <c r="F55" s="2" t="s">
        <v>674</v>
      </c>
      <c r="G55" s="2" t="s">
        <v>675</v>
      </c>
      <c r="H55" s="2" t="s">
        <v>676</v>
      </c>
      <c r="I55" s="2" t="s">
        <v>677</v>
      </c>
      <c r="J55" s="1" t="s">
        <v>159</v>
      </c>
      <c r="K55" s="2" t="s">
        <v>21</v>
      </c>
      <c r="L55" s="2" t="s">
        <v>219</v>
      </c>
      <c r="M55" s="2" t="s">
        <v>92</v>
      </c>
    </row>
    <row r="56">
      <c r="A56" s="3">
        <v>1.0</v>
      </c>
      <c r="B56" s="3">
        <v>1.0</v>
      </c>
      <c r="C56" s="2" t="s">
        <v>316</v>
      </c>
      <c r="D56" s="1" t="s">
        <v>159</v>
      </c>
      <c r="E56" s="2" t="s">
        <v>681</v>
      </c>
      <c r="F56" s="1" t="s">
        <v>159</v>
      </c>
      <c r="G56" s="1" t="s">
        <v>159</v>
      </c>
      <c r="H56" s="1" t="s">
        <v>159</v>
      </c>
      <c r="I56" s="1" t="s">
        <v>159</v>
      </c>
      <c r="J56" s="1" t="s">
        <v>159</v>
      </c>
      <c r="K56" s="1" t="s">
        <v>159</v>
      </c>
      <c r="L56" s="1" t="s">
        <v>159</v>
      </c>
      <c r="M56" s="1" t="s">
        <v>159</v>
      </c>
    </row>
    <row r="57">
      <c r="A57" s="3">
        <v>1.0</v>
      </c>
      <c r="B57" s="3">
        <v>2.0</v>
      </c>
      <c r="C57" s="2" t="s">
        <v>316</v>
      </c>
      <c r="D57" s="2" t="s">
        <v>1100</v>
      </c>
      <c r="E57" s="2" t="s">
        <v>1101</v>
      </c>
      <c r="F57" s="2" t="s">
        <v>1102</v>
      </c>
      <c r="G57" s="2" t="s">
        <v>1103</v>
      </c>
      <c r="H57" s="2" t="s">
        <v>1104</v>
      </c>
      <c r="I57" s="2" t="s">
        <v>1105</v>
      </c>
      <c r="J57" s="1" t="s">
        <v>159</v>
      </c>
      <c r="K57" s="1" t="s">
        <v>159</v>
      </c>
      <c r="L57" s="1" t="s">
        <v>159</v>
      </c>
      <c r="M57" s="1" t="s">
        <v>159</v>
      </c>
    </row>
    <row r="58">
      <c r="A58" s="3">
        <v>1.0</v>
      </c>
      <c r="B58" s="3">
        <v>3.0</v>
      </c>
      <c r="C58" s="2" t="s">
        <v>316</v>
      </c>
      <c r="D58" s="2" t="s">
        <v>1106</v>
      </c>
      <c r="E58" s="2" t="s">
        <v>1107</v>
      </c>
      <c r="F58" s="2" t="s">
        <v>1108</v>
      </c>
      <c r="G58" s="2" t="s">
        <v>1109</v>
      </c>
      <c r="H58" s="2" t="s">
        <v>1110</v>
      </c>
      <c r="I58" s="2" t="s">
        <v>1111</v>
      </c>
      <c r="J58" s="1" t="s">
        <v>159</v>
      </c>
      <c r="K58" s="1" t="s">
        <v>159</v>
      </c>
      <c r="L58" s="1" t="s">
        <v>159</v>
      </c>
      <c r="M58" s="1" t="s">
        <v>159</v>
      </c>
    </row>
    <row r="59">
      <c r="A59" s="3">
        <v>1.0</v>
      </c>
      <c r="B59" s="3">
        <v>4.0</v>
      </c>
      <c r="C59" s="2" t="s">
        <v>316</v>
      </c>
      <c r="D59" s="1" t="s">
        <v>159</v>
      </c>
      <c r="E59" s="2" t="s">
        <v>688</v>
      </c>
      <c r="F59" s="2">
        <v>327.0</v>
      </c>
      <c r="G59" s="2">
        <v>654.0</v>
      </c>
      <c r="H59" s="11">
        <v>1308.0</v>
      </c>
      <c r="I59" s="11">
        <v>1962.0</v>
      </c>
      <c r="J59" s="1" t="s">
        <v>159</v>
      </c>
      <c r="K59" s="1" t="s">
        <v>159</v>
      </c>
      <c r="L59" s="1" t="s">
        <v>159</v>
      </c>
      <c r="M59" s="1" t="s">
        <v>159</v>
      </c>
    </row>
    <row r="60">
      <c r="A60" s="3">
        <v>1.0</v>
      </c>
      <c r="B60" s="3">
        <v>5.0</v>
      </c>
      <c r="C60" s="2" t="s">
        <v>316</v>
      </c>
      <c r="D60" s="1" t="s">
        <v>159</v>
      </c>
      <c r="E60" s="2" t="s">
        <v>689</v>
      </c>
      <c r="F60" s="1" t="s">
        <v>159</v>
      </c>
      <c r="G60" s="1" t="s">
        <v>159</v>
      </c>
      <c r="H60" s="1" t="s">
        <v>159</v>
      </c>
      <c r="I60" s="1" t="s">
        <v>159</v>
      </c>
      <c r="J60" s="1" t="s">
        <v>159</v>
      </c>
      <c r="K60" s="1" t="s">
        <v>159</v>
      </c>
      <c r="L60" s="1" t="s">
        <v>159</v>
      </c>
      <c r="M60" s="1" t="s">
        <v>159</v>
      </c>
    </row>
    <row r="61">
      <c r="A61" s="3">
        <v>1.0</v>
      </c>
      <c r="B61" s="3">
        <v>6.0</v>
      </c>
      <c r="C61" s="2" t="s">
        <v>316</v>
      </c>
      <c r="D61" s="1" t="s">
        <v>159</v>
      </c>
      <c r="E61" s="2" t="s">
        <v>1114</v>
      </c>
      <c r="F61" s="1" t="s">
        <v>159</v>
      </c>
      <c r="G61" s="1" t="s">
        <v>159</v>
      </c>
      <c r="H61" s="1" t="s">
        <v>159</v>
      </c>
      <c r="I61" s="1" t="s">
        <v>159</v>
      </c>
      <c r="J61" s="1" t="s">
        <v>159</v>
      </c>
      <c r="K61" s="1" t="s">
        <v>159</v>
      </c>
      <c r="L61" s="1" t="s">
        <v>159</v>
      </c>
      <c r="M61" s="1" t="s">
        <v>159</v>
      </c>
    </row>
    <row r="62">
      <c r="A62" s="3">
        <v>1.0</v>
      </c>
      <c r="B62" s="3">
        <v>7.0</v>
      </c>
      <c r="C62" s="2" t="s">
        <v>316</v>
      </c>
      <c r="D62" s="1" t="s">
        <v>159</v>
      </c>
      <c r="E62" s="2" t="s">
        <v>1116</v>
      </c>
      <c r="F62" s="2">
        <v>64.0</v>
      </c>
      <c r="G62" s="2">
        <v>81.0</v>
      </c>
      <c r="H62" s="2">
        <v>258.0</v>
      </c>
      <c r="I62" s="2">
        <v>384.0</v>
      </c>
      <c r="J62" s="1" t="s">
        <v>159</v>
      </c>
      <c r="K62" s="1" t="s">
        <v>159</v>
      </c>
      <c r="L62" s="1" t="s">
        <v>159</v>
      </c>
      <c r="M62" s="1" t="s">
        <v>159</v>
      </c>
    </row>
    <row r="63">
      <c r="A63" s="3">
        <v>1.0</v>
      </c>
      <c r="B63" s="3">
        <v>8.0</v>
      </c>
      <c r="C63" s="1" t="s">
        <v>159</v>
      </c>
      <c r="D63" s="1" t="s">
        <v>159</v>
      </c>
      <c r="E63" s="1" t="s">
        <v>159</v>
      </c>
      <c r="F63" s="1" t="s">
        <v>159</v>
      </c>
      <c r="G63" s="1" t="s">
        <v>159</v>
      </c>
      <c r="H63" s="1" t="s">
        <v>159</v>
      </c>
      <c r="I63" s="1" t="s">
        <v>159</v>
      </c>
      <c r="J63" s="1" t="s">
        <v>159</v>
      </c>
      <c r="K63" s="1" t="s">
        <v>159</v>
      </c>
      <c r="L63" s="1" t="s">
        <v>159</v>
      </c>
      <c r="M63" s="1" t="s">
        <v>159</v>
      </c>
    </row>
    <row r="64">
      <c r="A64" s="3">
        <v>1.0</v>
      </c>
      <c r="B64" s="3">
        <v>9.0</v>
      </c>
      <c r="C64" s="2" t="s">
        <v>316</v>
      </c>
      <c r="D64" s="1" t="s">
        <v>159</v>
      </c>
      <c r="E64" s="2" t="s">
        <v>1118</v>
      </c>
      <c r="F64" s="1" t="s">
        <v>159</v>
      </c>
      <c r="G64" s="1" t="s">
        <v>159</v>
      </c>
      <c r="H64" s="1" t="s">
        <v>159</v>
      </c>
      <c r="I64" s="1" t="s">
        <v>159</v>
      </c>
      <c r="J64" s="1" t="s">
        <v>159</v>
      </c>
      <c r="K64" s="1" t="s">
        <v>159</v>
      </c>
      <c r="L64" s="1" t="s">
        <v>159</v>
      </c>
      <c r="M64" s="1" t="s">
        <v>159</v>
      </c>
    </row>
    <row r="65">
      <c r="A65" s="3">
        <v>1.0</v>
      </c>
      <c r="B65" s="3">
        <v>10.0</v>
      </c>
      <c r="C65" s="2" t="s">
        <v>316</v>
      </c>
      <c r="D65" s="1" t="s">
        <v>159</v>
      </c>
      <c r="E65" s="2" t="s">
        <v>1120</v>
      </c>
      <c r="F65" s="1" t="s">
        <v>159</v>
      </c>
      <c r="G65" s="1" t="s">
        <v>159</v>
      </c>
      <c r="H65" s="1" t="s">
        <v>159</v>
      </c>
      <c r="I65" s="1" t="s">
        <v>159</v>
      </c>
      <c r="J65" s="1" t="s">
        <v>159</v>
      </c>
      <c r="K65" s="1" t="s">
        <v>159</v>
      </c>
      <c r="L65" s="1" t="s">
        <v>159</v>
      </c>
      <c r="M65" s="1" t="s">
        <v>159</v>
      </c>
    </row>
    <row r="66">
      <c r="A66" s="3">
        <v>1.0</v>
      </c>
      <c r="B66" s="3">
        <v>11.0</v>
      </c>
      <c r="C66" s="2" t="s">
        <v>316</v>
      </c>
      <c r="D66" s="2" t="s">
        <v>1121</v>
      </c>
      <c r="E66" s="2" t="s">
        <v>708</v>
      </c>
      <c r="F66" s="2">
        <v>40.0</v>
      </c>
      <c r="G66" s="2">
        <v>20.0</v>
      </c>
      <c r="H66" s="2">
        <v>10.0</v>
      </c>
      <c r="I66" s="6" t="s">
        <v>1123</v>
      </c>
      <c r="J66" s="1" t="s">
        <v>159</v>
      </c>
      <c r="K66" s="1" t="s">
        <v>159</v>
      </c>
      <c r="L66" s="1" t="s">
        <v>159</v>
      </c>
      <c r="M66" s="1" t="s">
        <v>159</v>
      </c>
    </row>
    <row r="67">
      <c r="A67" s="3">
        <v>1.0</v>
      </c>
      <c r="B67" s="3">
        <v>12.0</v>
      </c>
      <c r="C67" s="2" t="s">
        <v>316</v>
      </c>
      <c r="D67" s="1" t="s">
        <v>159</v>
      </c>
      <c r="E67" s="1" t="s">
        <v>159</v>
      </c>
      <c r="F67" s="1" t="s">
        <v>159</v>
      </c>
      <c r="G67" s="1" t="s">
        <v>159</v>
      </c>
      <c r="H67" s="1" t="s">
        <v>159</v>
      </c>
      <c r="I67" s="1" t="s">
        <v>159</v>
      </c>
      <c r="J67" s="1" t="s">
        <v>159</v>
      </c>
      <c r="K67" s="1" t="s">
        <v>159</v>
      </c>
      <c r="L67" s="1" t="s">
        <v>159</v>
      </c>
      <c r="M67" s="1" t="s">
        <v>159</v>
      </c>
    </row>
    <row r="68">
      <c r="A68" s="3">
        <v>1.0</v>
      </c>
      <c r="B68" s="3">
        <v>13.0</v>
      </c>
      <c r="C68" s="2" t="s">
        <v>316</v>
      </c>
      <c r="D68" s="1" t="s">
        <v>159</v>
      </c>
      <c r="E68" s="2" t="s">
        <v>1126</v>
      </c>
      <c r="F68" s="6" t="s">
        <v>1127</v>
      </c>
      <c r="G68" s="6" t="s">
        <v>1128</v>
      </c>
      <c r="H68" s="6" t="s">
        <v>1130</v>
      </c>
      <c r="I68" s="6" t="s">
        <v>1131</v>
      </c>
      <c r="J68" s="1" t="s">
        <v>159</v>
      </c>
      <c r="K68" s="1" t="s">
        <v>159</v>
      </c>
      <c r="L68" s="1" t="s">
        <v>159</v>
      </c>
      <c r="M68" s="1" t="s">
        <v>159</v>
      </c>
    </row>
    <row r="69">
      <c r="A69" s="3">
        <v>1.0</v>
      </c>
      <c r="B69" s="3">
        <v>14.0</v>
      </c>
      <c r="C69" s="2" t="s">
        <v>316</v>
      </c>
      <c r="D69" s="1" t="s">
        <v>159</v>
      </c>
      <c r="E69" s="2" t="s">
        <v>1133</v>
      </c>
      <c r="F69" s="2" t="s">
        <v>1134</v>
      </c>
      <c r="G69" s="2" t="s">
        <v>1135</v>
      </c>
      <c r="H69" s="2" t="s">
        <v>1136</v>
      </c>
      <c r="I69" s="2" t="s">
        <v>1137</v>
      </c>
      <c r="J69" s="1" t="s">
        <v>159</v>
      </c>
      <c r="K69" s="1" t="s">
        <v>159</v>
      </c>
      <c r="L69" s="1" t="s">
        <v>159</v>
      </c>
      <c r="M69" s="1" t="s">
        <v>159</v>
      </c>
    </row>
    <row r="70">
      <c r="A70" s="3">
        <v>1.0</v>
      </c>
      <c r="B70" s="3">
        <v>15.0</v>
      </c>
      <c r="C70" s="1" t="s">
        <v>159</v>
      </c>
      <c r="D70" s="1" t="s">
        <v>159</v>
      </c>
      <c r="E70" s="1" t="s">
        <v>159</v>
      </c>
      <c r="F70" s="1" t="s">
        <v>159</v>
      </c>
      <c r="G70" s="1" t="s">
        <v>159</v>
      </c>
      <c r="H70" s="1" t="s">
        <v>159</v>
      </c>
      <c r="I70" s="1" t="s">
        <v>159</v>
      </c>
      <c r="J70" s="1" t="s">
        <v>159</v>
      </c>
      <c r="K70" s="1" t="s">
        <v>159</v>
      </c>
      <c r="L70" s="1" t="s">
        <v>159</v>
      </c>
      <c r="M70" s="1" t="s">
        <v>159</v>
      </c>
    </row>
    <row r="71">
      <c r="A71" s="3">
        <v>1.0</v>
      </c>
      <c r="B71" s="3">
        <v>16.0</v>
      </c>
      <c r="C71" s="2" t="s">
        <v>316</v>
      </c>
      <c r="D71" s="1" t="s">
        <v>159</v>
      </c>
      <c r="E71" s="2" t="s">
        <v>728</v>
      </c>
      <c r="F71" s="1" t="s">
        <v>159</v>
      </c>
      <c r="G71" s="1" t="s">
        <v>159</v>
      </c>
      <c r="H71" s="1" t="s">
        <v>159</v>
      </c>
      <c r="I71" s="1" t="s">
        <v>159</v>
      </c>
      <c r="J71" s="1" t="s">
        <v>159</v>
      </c>
      <c r="K71" s="1" t="s">
        <v>159</v>
      </c>
      <c r="L71" s="1" t="s">
        <v>159</v>
      </c>
      <c r="M71" s="1" t="s">
        <v>159</v>
      </c>
    </row>
    <row r="72">
      <c r="A72" s="3">
        <v>1.0</v>
      </c>
      <c r="B72" s="3">
        <v>17.0</v>
      </c>
      <c r="C72" s="2" t="s">
        <v>316</v>
      </c>
      <c r="D72" s="2" t="s">
        <v>1142</v>
      </c>
      <c r="E72" s="2" t="s">
        <v>832</v>
      </c>
      <c r="F72" s="2" t="s">
        <v>732</v>
      </c>
      <c r="G72" s="2" t="s">
        <v>733</v>
      </c>
      <c r="H72" s="2" t="s">
        <v>734</v>
      </c>
      <c r="I72" s="2" t="s">
        <v>735</v>
      </c>
      <c r="J72" s="1" t="s">
        <v>159</v>
      </c>
      <c r="K72" s="1" t="s">
        <v>159</v>
      </c>
      <c r="L72" s="1" t="s">
        <v>159</v>
      </c>
      <c r="M72" s="1" t="s">
        <v>159</v>
      </c>
    </row>
    <row r="73">
      <c r="A73" s="3">
        <v>1.0</v>
      </c>
      <c r="B73" s="3">
        <v>18.0</v>
      </c>
      <c r="C73" s="2" t="s">
        <v>316</v>
      </c>
      <c r="D73" s="2" t="s">
        <v>1144</v>
      </c>
      <c r="E73" s="2" t="s">
        <v>1094</v>
      </c>
      <c r="F73" s="2" t="s">
        <v>1145</v>
      </c>
      <c r="G73" s="2" t="s">
        <v>1146</v>
      </c>
      <c r="H73" s="2" t="s">
        <v>1147</v>
      </c>
      <c r="I73" s="2" t="s">
        <v>1149</v>
      </c>
      <c r="J73" s="1" t="s">
        <v>159</v>
      </c>
      <c r="K73" s="1" t="s">
        <v>159</v>
      </c>
      <c r="L73" s="1" t="s">
        <v>159</v>
      </c>
      <c r="M73" s="1" t="s">
        <v>159</v>
      </c>
    </row>
    <row r="74">
      <c r="A74" s="3">
        <v>1.0</v>
      </c>
      <c r="B74" s="3">
        <v>19.0</v>
      </c>
      <c r="C74" s="2" t="s">
        <v>316</v>
      </c>
      <c r="D74" s="2" t="s">
        <v>1151</v>
      </c>
      <c r="E74" s="2" t="s">
        <v>741</v>
      </c>
      <c r="F74" s="2">
        <v>1.0</v>
      </c>
      <c r="G74" s="2">
        <v>9.0</v>
      </c>
      <c r="H74" s="2">
        <v>15.0</v>
      </c>
      <c r="I74" s="2">
        <v>21.0</v>
      </c>
      <c r="J74" s="1" t="s">
        <v>159</v>
      </c>
      <c r="K74" s="1" t="s">
        <v>159</v>
      </c>
      <c r="L74" s="1" t="s">
        <v>159</v>
      </c>
      <c r="M74" s="1" t="s">
        <v>159</v>
      </c>
    </row>
    <row r="75">
      <c r="A75" s="3">
        <v>1.0</v>
      </c>
      <c r="B75" s="3">
        <v>20.0</v>
      </c>
      <c r="C75" s="2" t="s">
        <v>316</v>
      </c>
      <c r="D75" s="1" t="s">
        <v>159</v>
      </c>
      <c r="E75" s="2" t="s">
        <v>842</v>
      </c>
      <c r="F75" s="1" t="s">
        <v>159</v>
      </c>
      <c r="G75" s="1" t="s">
        <v>159</v>
      </c>
      <c r="H75" s="1" t="s">
        <v>159</v>
      </c>
      <c r="I75" s="1" t="s">
        <v>159</v>
      </c>
      <c r="J75" s="1" t="s">
        <v>159</v>
      </c>
      <c r="K75" s="1" t="s">
        <v>159</v>
      </c>
      <c r="L75" s="1" t="s">
        <v>159</v>
      </c>
      <c r="M75" s="1" t="s">
        <v>159</v>
      </c>
    </row>
    <row r="76">
      <c r="A76" s="3">
        <v>1.0</v>
      </c>
      <c r="B76" s="3">
        <v>21.0</v>
      </c>
      <c r="C76" s="2" t="s">
        <v>316</v>
      </c>
      <c r="D76" s="2" t="s">
        <v>1152</v>
      </c>
      <c r="E76" s="2" t="s">
        <v>1153</v>
      </c>
      <c r="F76" s="2" t="s">
        <v>1154</v>
      </c>
      <c r="G76" s="2" t="s">
        <v>1155</v>
      </c>
      <c r="H76" s="2" t="s">
        <v>1156</v>
      </c>
      <c r="I76" s="2" t="s">
        <v>1157</v>
      </c>
      <c r="J76" s="1" t="s">
        <v>159</v>
      </c>
      <c r="K76" s="1" t="s">
        <v>159</v>
      </c>
      <c r="L76" s="1" t="s">
        <v>159</v>
      </c>
      <c r="M76" s="1" t="s">
        <v>159</v>
      </c>
    </row>
    <row r="77">
      <c r="A77" s="3">
        <v>1.0</v>
      </c>
      <c r="B77" s="3">
        <v>22.0</v>
      </c>
      <c r="C77" s="2" t="s">
        <v>316</v>
      </c>
      <c r="D77" s="6" t="s">
        <v>1158</v>
      </c>
      <c r="E77" s="2" t="s">
        <v>750</v>
      </c>
      <c r="F77" s="6" t="s">
        <v>1159</v>
      </c>
      <c r="G77" s="6" t="s">
        <v>1160</v>
      </c>
      <c r="H77" s="2" t="s">
        <v>1161</v>
      </c>
      <c r="I77" s="2" t="s">
        <v>1162</v>
      </c>
      <c r="J77" s="1" t="s">
        <v>159</v>
      </c>
      <c r="K77" s="1" t="s">
        <v>159</v>
      </c>
      <c r="L77" s="1" t="s">
        <v>159</v>
      </c>
      <c r="M77" s="1" t="s">
        <v>159</v>
      </c>
    </row>
    <row r="78">
      <c r="A78" s="3">
        <v>2.0</v>
      </c>
      <c r="B78" s="3">
        <v>1.0</v>
      </c>
      <c r="C78" s="2" t="s">
        <v>316</v>
      </c>
      <c r="D78" s="1" t="s">
        <v>159</v>
      </c>
      <c r="E78" s="2" t="s">
        <v>755</v>
      </c>
      <c r="F78" s="2">
        <v>3.0</v>
      </c>
      <c r="G78" s="2">
        <v>7.0</v>
      </c>
      <c r="H78" s="2">
        <v>32.0</v>
      </c>
      <c r="I78" s="2">
        <v>40.0</v>
      </c>
      <c r="J78" s="1" t="s">
        <v>159</v>
      </c>
      <c r="K78" s="1" t="s">
        <v>159</v>
      </c>
      <c r="L78" s="1" t="s">
        <v>159</v>
      </c>
      <c r="M78" s="1" t="s">
        <v>159</v>
      </c>
    </row>
    <row r="79">
      <c r="A79" s="3">
        <v>2.0</v>
      </c>
      <c r="B79" s="3">
        <v>2.0</v>
      </c>
      <c r="C79" s="2" t="s">
        <v>316</v>
      </c>
      <c r="D79" s="2" t="s">
        <v>1163</v>
      </c>
      <c r="E79" s="2" t="s">
        <v>1164</v>
      </c>
      <c r="F79" s="2">
        <v>39.17</v>
      </c>
      <c r="G79" s="2">
        <v>48.0</v>
      </c>
      <c r="H79" s="2">
        <v>52.22</v>
      </c>
      <c r="I79" s="2">
        <v>72.33</v>
      </c>
      <c r="J79" s="1" t="s">
        <v>159</v>
      </c>
      <c r="K79" s="1" t="s">
        <v>159</v>
      </c>
      <c r="L79" s="1" t="s">
        <v>159</v>
      </c>
      <c r="M79" s="1" t="s">
        <v>159</v>
      </c>
    </row>
    <row r="80">
      <c r="A80" s="3">
        <v>2.0</v>
      </c>
      <c r="B80" s="3">
        <v>3.0</v>
      </c>
      <c r="C80" s="2" t="s">
        <v>316</v>
      </c>
      <c r="D80" s="1" t="s">
        <v>159</v>
      </c>
      <c r="E80" s="2" t="s">
        <v>1165</v>
      </c>
      <c r="F80" s="2" t="s">
        <v>1166</v>
      </c>
      <c r="G80" s="6" t="s">
        <v>1167</v>
      </c>
      <c r="H80" s="2" t="s">
        <v>1168</v>
      </c>
      <c r="I80" s="1" t="s">
        <v>159</v>
      </c>
      <c r="J80" s="1" t="s">
        <v>159</v>
      </c>
      <c r="K80" s="1" t="s">
        <v>159</v>
      </c>
      <c r="L80" s="1" t="s">
        <v>159</v>
      </c>
      <c r="M80" s="1" t="s">
        <v>159</v>
      </c>
    </row>
    <row r="81">
      <c r="A81" s="3">
        <v>2.0</v>
      </c>
      <c r="B81" s="3">
        <v>4.0</v>
      </c>
      <c r="C81" s="2" t="s">
        <v>316</v>
      </c>
      <c r="D81" s="1" t="s">
        <v>159</v>
      </c>
      <c r="E81" s="2" t="s">
        <v>1169</v>
      </c>
      <c r="F81" s="1" t="s">
        <v>159</v>
      </c>
      <c r="G81" s="1" t="s">
        <v>159</v>
      </c>
      <c r="H81" s="1" t="s">
        <v>159</v>
      </c>
      <c r="I81" s="1" t="s">
        <v>159</v>
      </c>
      <c r="J81" s="1" t="s">
        <v>159</v>
      </c>
      <c r="K81" s="1" t="s">
        <v>159</v>
      </c>
      <c r="L81" s="1" t="s">
        <v>159</v>
      </c>
      <c r="M81" s="1" t="s">
        <v>159</v>
      </c>
    </row>
    <row r="82">
      <c r="A82" s="3">
        <v>2.0</v>
      </c>
      <c r="B82" s="3">
        <v>5.0</v>
      </c>
      <c r="C82" s="2" t="s">
        <v>316</v>
      </c>
      <c r="D82" s="1" t="s">
        <v>159</v>
      </c>
      <c r="E82" s="6" t="s">
        <v>1170</v>
      </c>
      <c r="F82" s="2">
        <v>34.0</v>
      </c>
      <c r="G82" s="2">
        <v>16.0</v>
      </c>
      <c r="H82" s="2">
        <v>15.0</v>
      </c>
      <c r="I82" s="2">
        <v>8.0</v>
      </c>
      <c r="J82" s="1" t="s">
        <v>159</v>
      </c>
      <c r="K82" s="1" t="s">
        <v>159</v>
      </c>
      <c r="L82" s="1" t="s">
        <v>159</v>
      </c>
      <c r="M82" s="1" t="s">
        <v>159</v>
      </c>
    </row>
    <row r="83">
      <c r="A83" s="3">
        <v>2.0</v>
      </c>
      <c r="B83" s="3">
        <v>6.0</v>
      </c>
      <c r="C83" s="2" t="s">
        <v>316</v>
      </c>
      <c r="D83" s="1" t="s">
        <v>159</v>
      </c>
      <c r="E83" s="2" t="s">
        <v>1171</v>
      </c>
      <c r="F83" s="2">
        <v>9.0</v>
      </c>
      <c r="G83" s="2">
        <v>7.0</v>
      </c>
      <c r="H83" s="2">
        <v>5.0</v>
      </c>
      <c r="I83" s="2">
        <v>1.0</v>
      </c>
      <c r="J83" s="1" t="s">
        <v>159</v>
      </c>
      <c r="K83" s="1" t="s">
        <v>159</v>
      </c>
      <c r="L83" s="1" t="s">
        <v>159</v>
      </c>
      <c r="M83" s="1" t="s">
        <v>159</v>
      </c>
    </row>
    <row r="84">
      <c r="A84" s="3">
        <v>2.0</v>
      </c>
      <c r="B84" s="3">
        <v>7.0</v>
      </c>
      <c r="K84" s="1" t="s">
        <v>159</v>
      </c>
      <c r="L84" s="1" t="s">
        <v>159</v>
      </c>
      <c r="M84" s="1" t="s">
        <v>159</v>
      </c>
    </row>
    <row r="85">
      <c r="A85" s="3">
        <v>2.0</v>
      </c>
      <c r="B85" s="3">
        <v>8.0</v>
      </c>
      <c r="C85" s="2" t="s">
        <v>316</v>
      </c>
      <c r="D85" s="1" t="s">
        <v>159</v>
      </c>
      <c r="E85" s="2" t="s">
        <v>1172</v>
      </c>
      <c r="F85" s="1" t="s">
        <v>159</v>
      </c>
      <c r="G85" s="1" t="s">
        <v>159</v>
      </c>
      <c r="H85" s="1" t="s">
        <v>159</v>
      </c>
      <c r="I85" s="1" t="s">
        <v>159</v>
      </c>
      <c r="J85" s="1" t="s">
        <v>159</v>
      </c>
      <c r="K85" s="1" t="s">
        <v>159</v>
      </c>
      <c r="L85" s="1" t="s">
        <v>159</v>
      </c>
      <c r="M85" s="1" t="s">
        <v>159</v>
      </c>
    </row>
    <row r="86">
      <c r="A86" s="3">
        <v>2.0</v>
      </c>
      <c r="B86" s="3">
        <v>9.0</v>
      </c>
      <c r="C86" s="2" t="s">
        <v>316</v>
      </c>
      <c r="D86" s="2" t="s">
        <v>1173</v>
      </c>
      <c r="E86" s="2" t="s">
        <v>771</v>
      </c>
      <c r="F86" s="2" t="s">
        <v>1174</v>
      </c>
      <c r="G86" s="2" t="s">
        <v>1175</v>
      </c>
      <c r="H86" s="2" t="s">
        <v>1176</v>
      </c>
      <c r="I86" s="2" t="s">
        <v>1177</v>
      </c>
      <c r="J86" s="1" t="s">
        <v>159</v>
      </c>
      <c r="K86" s="1" t="s">
        <v>159</v>
      </c>
      <c r="L86" s="1" t="s">
        <v>159</v>
      </c>
      <c r="M86" s="1" t="s">
        <v>159</v>
      </c>
    </row>
    <row r="87">
      <c r="A87" s="3">
        <v>2.0</v>
      </c>
      <c r="B87" s="3">
        <v>10.0</v>
      </c>
      <c r="C87" s="2" t="s">
        <v>316</v>
      </c>
      <c r="D87" s="2" t="s">
        <v>1178</v>
      </c>
      <c r="E87" s="2" t="s">
        <v>1179</v>
      </c>
      <c r="F87" s="6" t="s">
        <v>1180</v>
      </c>
      <c r="G87" s="6" t="s">
        <v>1181</v>
      </c>
      <c r="H87" s="6" t="s">
        <v>1182</v>
      </c>
      <c r="I87" s="6" t="s">
        <v>1183</v>
      </c>
      <c r="J87" s="1" t="s">
        <v>159</v>
      </c>
      <c r="K87" s="1" t="s">
        <v>159</v>
      </c>
      <c r="L87" s="1" t="s">
        <v>159</v>
      </c>
      <c r="M87" s="1" t="s">
        <v>159</v>
      </c>
    </row>
    <row r="88">
      <c r="A88" s="3">
        <v>2.0</v>
      </c>
      <c r="B88" s="3">
        <v>11.0</v>
      </c>
      <c r="C88" s="2" t="s">
        <v>316</v>
      </c>
      <c r="D88" s="1" t="s">
        <v>159</v>
      </c>
      <c r="E88" s="2" t="s">
        <v>1184</v>
      </c>
      <c r="F88" s="2" t="s">
        <v>890</v>
      </c>
      <c r="G88" s="2" t="s">
        <v>891</v>
      </c>
      <c r="H88" s="2" t="s">
        <v>892</v>
      </c>
      <c r="I88" s="2" t="s">
        <v>893</v>
      </c>
      <c r="J88" s="1" t="s">
        <v>159</v>
      </c>
      <c r="K88" s="1" t="s">
        <v>159</v>
      </c>
      <c r="L88" s="1" t="s">
        <v>159</v>
      </c>
      <c r="M88" s="1" t="s">
        <v>159</v>
      </c>
    </row>
    <row r="89">
      <c r="A89" s="3">
        <v>2.0</v>
      </c>
      <c r="B89" s="3">
        <v>12.0</v>
      </c>
      <c r="C89" s="2" t="s">
        <v>316</v>
      </c>
      <c r="D89" s="1" t="s">
        <v>159</v>
      </c>
      <c r="E89" s="2" t="s">
        <v>1185</v>
      </c>
      <c r="F89" s="2" t="s">
        <v>991</v>
      </c>
      <c r="G89" s="2" t="s">
        <v>1186</v>
      </c>
      <c r="H89" s="2" t="s">
        <v>788</v>
      </c>
      <c r="I89" s="2" t="s">
        <v>1187</v>
      </c>
      <c r="J89" s="1" t="s">
        <v>159</v>
      </c>
      <c r="K89" s="1" t="s">
        <v>159</v>
      </c>
      <c r="L89" s="1" t="s">
        <v>159</v>
      </c>
      <c r="M89" s="1" t="s">
        <v>159</v>
      </c>
    </row>
    <row r="90">
      <c r="A90" s="3">
        <v>2.0</v>
      </c>
      <c r="B90" s="3">
        <v>13.0</v>
      </c>
      <c r="C90" s="2" t="s">
        <v>316</v>
      </c>
      <c r="D90" s="2" t="s">
        <v>1188</v>
      </c>
      <c r="E90" s="2" t="s">
        <v>896</v>
      </c>
      <c r="F90" s="2" t="s">
        <v>1189</v>
      </c>
      <c r="G90" s="2" t="s">
        <v>1190</v>
      </c>
      <c r="H90" s="2" t="s">
        <v>1191</v>
      </c>
      <c r="I90" s="2" t="s">
        <v>1192</v>
      </c>
      <c r="J90" s="1" t="s">
        <v>159</v>
      </c>
      <c r="K90" s="1" t="s">
        <v>159</v>
      </c>
      <c r="L90" s="1" t="s">
        <v>159</v>
      </c>
      <c r="M90" s="1" t="s">
        <v>159</v>
      </c>
    </row>
    <row r="91">
      <c r="A91" s="3">
        <v>2.0</v>
      </c>
      <c r="B91" s="3">
        <v>14.0</v>
      </c>
      <c r="C91" s="2" t="s">
        <v>316</v>
      </c>
      <c r="D91" s="1" t="s">
        <v>159</v>
      </c>
      <c r="E91" s="2" t="s">
        <v>1193</v>
      </c>
      <c r="F91" s="1" t="s">
        <v>159</v>
      </c>
      <c r="G91" s="1" t="s">
        <v>159</v>
      </c>
      <c r="H91" s="1" t="s">
        <v>159</v>
      </c>
      <c r="I91" s="1" t="s">
        <v>159</v>
      </c>
      <c r="J91" s="1" t="s">
        <v>159</v>
      </c>
      <c r="K91" s="1" t="s">
        <v>159</v>
      </c>
      <c r="L91" s="1" t="s">
        <v>159</v>
      </c>
      <c r="M91" s="1" t="s">
        <v>159</v>
      </c>
    </row>
    <row r="92">
      <c r="A92" s="3">
        <v>2.0</v>
      </c>
      <c r="B92" s="3">
        <v>15.0</v>
      </c>
      <c r="C92" s="2" t="s">
        <v>316</v>
      </c>
      <c r="D92" s="2" t="s">
        <v>1194</v>
      </c>
      <c r="E92" s="2" t="s">
        <v>1195</v>
      </c>
      <c r="F92" s="2" t="s">
        <v>1196</v>
      </c>
      <c r="G92" s="2" t="s">
        <v>1197</v>
      </c>
      <c r="H92" s="2" t="s">
        <v>1198</v>
      </c>
      <c r="I92" s="2" t="s">
        <v>1199</v>
      </c>
      <c r="J92" s="1" t="s">
        <v>159</v>
      </c>
      <c r="K92" s="1" t="s">
        <v>159</v>
      </c>
      <c r="L92" s="1" t="s">
        <v>159</v>
      </c>
      <c r="M92" s="1" t="s">
        <v>159</v>
      </c>
    </row>
    <row r="93">
      <c r="A93" s="3">
        <v>2.0</v>
      </c>
      <c r="B93" s="3">
        <v>16.0</v>
      </c>
      <c r="C93" s="2" t="s">
        <v>316</v>
      </c>
      <c r="D93" s="2" t="s">
        <v>1200</v>
      </c>
      <c r="E93" s="2" t="s">
        <v>793</v>
      </c>
      <c r="F93" s="2" t="s">
        <v>1201</v>
      </c>
      <c r="G93" s="2" t="s">
        <v>1202</v>
      </c>
      <c r="H93" s="2" t="s">
        <v>796</v>
      </c>
      <c r="I93" s="2" t="s">
        <v>797</v>
      </c>
      <c r="J93" s="1" t="s">
        <v>159</v>
      </c>
      <c r="K93" s="1" t="s">
        <v>159</v>
      </c>
      <c r="L93" s="1" t="s">
        <v>159</v>
      </c>
      <c r="M93" s="1" t="s">
        <v>159</v>
      </c>
    </row>
    <row r="94">
      <c r="A94" s="3">
        <v>2.0</v>
      </c>
      <c r="B94" s="3">
        <v>17.0</v>
      </c>
      <c r="C94" s="2" t="s">
        <v>316</v>
      </c>
      <c r="D94" s="1" t="s">
        <v>159</v>
      </c>
      <c r="E94" s="2" t="s">
        <v>1203</v>
      </c>
      <c r="F94" s="2" t="s">
        <v>1204</v>
      </c>
      <c r="G94" s="2" t="s">
        <v>1205</v>
      </c>
      <c r="H94" s="2" t="s">
        <v>1206</v>
      </c>
      <c r="I94" s="2" t="s">
        <v>1207</v>
      </c>
      <c r="J94" s="1" t="s">
        <v>159</v>
      </c>
      <c r="K94" s="1" t="s">
        <v>159</v>
      </c>
      <c r="L94" s="1" t="s">
        <v>159</v>
      </c>
      <c r="M94" s="1" t="s">
        <v>159</v>
      </c>
    </row>
    <row r="95">
      <c r="A95" s="3">
        <v>2.0</v>
      </c>
      <c r="B95" s="3">
        <v>18.0</v>
      </c>
      <c r="C95" s="2" t="s">
        <v>316</v>
      </c>
      <c r="D95" s="1" t="s">
        <v>159</v>
      </c>
      <c r="E95" s="2" t="s">
        <v>807</v>
      </c>
      <c r="F95" s="9">
        <v>1.1483</v>
      </c>
      <c r="G95" s="9">
        <v>1.3783</v>
      </c>
      <c r="H95" s="9">
        <v>1.56</v>
      </c>
      <c r="I95" s="9">
        <v>2.4317</v>
      </c>
      <c r="J95" s="1" t="s">
        <v>159</v>
      </c>
      <c r="K95" s="1" t="s">
        <v>159</v>
      </c>
      <c r="L95" s="1" t="s">
        <v>159</v>
      </c>
      <c r="M95" s="1" t="s">
        <v>159</v>
      </c>
    </row>
    <row r="96">
      <c r="A96" s="3">
        <v>2.0</v>
      </c>
      <c r="B96" s="3">
        <v>19.0</v>
      </c>
      <c r="C96" s="2" t="s">
        <v>316</v>
      </c>
      <c r="D96" s="6" t="s">
        <v>1208</v>
      </c>
      <c r="E96" s="2" t="s">
        <v>1209</v>
      </c>
      <c r="F96" s="1" t="s">
        <v>159</v>
      </c>
      <c r="G96" s="1" t="s">
        <v>159</v>
      </c>
      <c r="H96" s="1" t="s">
        <v>159</v>
      </c>
      <c r="I96" s="1" t="s">
        <v>159</v>
      </c>
      <c r="J96" s="1" t="s">
        <v>159</v>
      </c>
      <c r="K96" s="1" t="s">
        <v>159</v>
      </c>
      <c r="L96" s="1" t="s">
        <v>159</v>
      </c>
      <c r="M96" s="1" t="s">
        <v>159</v>
      </c>
    </row>
    <row r="97">
      <c r="A97" s="3">
        <v>2.0</v>
      </c>
      <c r="B97" s="3">
        <v>20.0</v>
      </c>
      <c r="C97" s="2" t="s">
        <v>316</v>
      </c>
      <c r="D97" s="2" t="s">
        <v>1210</v>
      </c>
      <c r="E97" s="2" t="s">
        <v>1211</v>
      </c>
      <c r="F97" s="2">
        <v>-23.0</v>
      </c>
      <c r="G97" s="2">
        <v>13.0</v>
      </c>
      <c r="H97" s="2">
        <v>81.0</v>
      </c>
      <c r="I97" s="2">
        <v>313.0</v>
      </c>
      <c r="J97" s="1" t="s">
        <v>159</v>
      </c>
      <c r="K97" s="1" t="s">
        <v>159</v>
      </c>
      <c r="L97" s="1" t="s">
        <v>159</v>
      </c>
      <c r="M97" s="1" t="s">
        <v>159</v>
      </c>
    </row>
    <row r="98">
      <c r="A98" s="3">
        <v>2.0</v>
      </c>
      <c r="B98" s="3">
        <v>21.0</v>
      </c>
      <c r="C98" s="2" t="s">
        <v>316</v>
      </c>
      <c r="D98" s="4" t="s">
        <v>1212</v>
      </c>
      <c r="E98" s="4" t="s">
        <v>1213</v>
      </c>
      <c r="F98" s="1" t="s">
        <v>159</v>
      </c>
      <c r="G98" s="1" t="s">
        <v>159</v>
      </c>
      <c r="H98" s="1" t="s">
        <v>159</v>
      </c>
      <c r="I98" s="1" t="s">
        <v>159</v>
      </c>
      <c r="J98" s="1" t="s">
        <v>159</v>
      </c>
      <c r="K98" s="1" t="s">
        <v>159</v>
      </c>
      <c r="L98" s="1" t="s">
        <v>159</v>
      </c>
      <c r="M98" s="1" t="s">
        <v>159</v>
      </c>
    </row>
    <row r="99">
      <c r="A99" s="3">
        <v>2.0</v>
      </c>
      <c r="B99" s="3">
        <v>22.0</v>
      </c>
      <c r="C99" s="2" t="s">
        <v>316</v>
      </c>
      <c r="D99" s="1" t="s">
        <v>159</v>
      </c>
      <c r="E99" s="2" t="s">
        <v>1214</v>
      </c>
      <c r="F99" s="2" t="s">
        <v>1215</v>
      </c>
      <c r="G99" s="2" t="s">
        <v>1216</v>
      </c>
      <c r="H99" s="2" t="s">
        <v>1217</v>
      </c>
      <c r="I99" s="2" t="s">
        <v>1218</v>
      </c>
      <c r="J99" s="1" t="s">
        <v>159</v>
      </c>
      <c r="K99" s="1" t="s">
        <v>159</v>
      </c>
      <c r="L99" s="1" t="s">
        <v>159</v>
      </c>
      <c r="M99" s="1" t="s">
        <v>159</v>
      </c>
    </row>
  </sheetData>
  <drawing r:id="rId1"/>
</worksheet>
</file>